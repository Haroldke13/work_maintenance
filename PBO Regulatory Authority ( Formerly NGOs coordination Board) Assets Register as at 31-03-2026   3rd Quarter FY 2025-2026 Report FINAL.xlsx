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muthuri\Downloads\dan\ICT docs\ICT docs\"/>
    </mc:Choice>
  </mc:AlternateContent>
  <xr:revisionPtr revIDLastSave="0" documentId="8_{3D5DF132-A1F0-47AD-AB34-4E7269D15B74}" xr6:coauthVersionLast="47" xr6:coauthVersionMax="47" xr10:uidLastSave="{00000000-0000-0000-0000-000000000000}"/>
  <bookViews>
    <workbookView xWindow="-108" yWindow="-108" windowWidth="23256" windowHeight="12456" tabRatio="565" firstSheet="6" activeTab="6" xr2:uid="{00000000-000D-0000-FFFF-FFFF00000000}"/>
  </bookViews>
  <sheets>
    <sheet name="Guidance" sheetId="50" r:id="rId1"/>
    <sheet name="Table of Contents" sheetId="54" r:id="rId2"/>
    <sheet name="Land Register " sheetId="7" r:id="rId3"/>
    <sheet name="Building Register" sheetId="8" r:id="rId4"/>
    <sheet name="Motor Vehicle Register" sheetId="6" r:id="rId5"/>
    <sheet name="Office equipment register " sheetId="71" r:id="rId6"/>
    <sheet name="ICT Computer Register " sheetId="72" r:id="rId7"/>
    <sheet name="Furniture&amp;Fittings " sheetId="3" r:id="rId8"/>
    <sheet name="Plant &amp;Machinery Register" sheetId="4" r:id="rId9"/>
    <sheet name="Portable &amp;attractive Items " sheetId="5" r:id="rId10"/>
    <sheet name="Intangible Asset Register " sheetId="9" r:id="rId11"/>
    <sheet name="Stocks Consumables Register " sheetId="10" r:id="rId12"/>
    <sheet name="Railway register " sheetId="18" r:id="rId13"/>
    <sheet name="Roads Infastructure register " sheetId="19" r:id="rId14"/>
    <sheet name="Other Infastructure register " sheetId="20" r:id="rId15"/>
    <sheet name="Biological register " sheetId="21" r:id="rId16"/>
    <sheet name="Subsoil register " sheetId="22" r:id="rId17"/>
    <sheet name="Major maintenance register " sheetId="23" r:id="rId18"/>
    <sheet name="Work in progress register " sheetId="24" r:id="rId19"/>
    <sheet name="Investments register " sheetId="25" r:id="rId20"/>
    <sheet name="Cash register " sheetId="26" r:id="rId21"/>
    <sheet name="Bank register " sheetId="27" r:id="rId22"/>
    <sheet name="Loans receivables register" sheetId="28" r:id="rId23"/>
    <sheet name="Accounts receivables register " sheetId="29" r:id="rId24"/>
    <sheet name="Other receivables register " sheetId="30" r:id="rId25"/>
    <sheet name="Imprest register " sheetId="31" r:id="rId26"/>
    <sheet name="Loans payable register " sheetId="32" r:id="rId27"/>
    <sheet name="contigent Liabities register" sheetId="33" r:id="rId28"/>
    <sheet name="Accruals register " sheetId="34" r:id="rId29"/>
    <sheet name="Accounts payable register " sheetId="35" r:id="rId30"/>
    <sheet name="Pensions payable register" sheetId="36" r:id="rId31"/>
    <sheet name="Other liabilities register " sheetId="37" r:id="rId32"/>
    <sheet name="Asset movement form" sheetId="38" r:id="rId33"/>
    <sheet name="Revaluation Schedule " sheetId="39" r:id="rId34"/>
    <sheet name="Losses Register " sheetId="40" r:id="rId35"/>
    <sheet name="Guarantees &amp;indeminities " sheetId="41" r:id="rId36"/>
    <sheet name="Lease register " sheetId="42" r:id="rId37"/>
    <sheet name="Litigation Register " sheetId="43" r:id="rId38"/>
    <sheet name="Equipment sign out register " sheetId="44" r:id="rId39"/>
    <sheet name="Asset transfer form " sheetId="45" r:id="rId40"/>
    <sheet name="Asset Handover form" sheetId="46" r:id="rId41"/>
    <sheet name="Asset reconciliation report " sheetId="70" r:id="rId42"/>
  </sheets>
  <externalReferences>
    <externalReference r:id="rId43"/>
    <externalReference r:id="rId44"/>
  </externalReferences>
  <definedNames>
    <definedName name="_bookmark28" localSheetId="0">Guidance!$B$43</definedName>
    <definedName name="_bookmark32" localSheetId="0">Guidance!$B$44</definedName>
    <definedName name="_Toc112658799" localSheetId="0">Guidance!#REF!</definedName>
    <definedName name="_Toc112658800" localSheetId="0">Guidance!$B$15</definedName>
    <definedName name="_Toc112658801" localSheetId="0">Guidance!$B$16</definedName>
    <definedName name="_Toc112658802" localSheetId="0">Guidance!$B$20</definedName>
    <definedName name="_Toc112658803" localSheetId="0">Guidance!$B$23</definedName>
    <definedName name="_Toc112658804" localSheetId="0">Guidance!$B$27</definedName>
    <definedName name="_Toc112658805" localSheetId="0">Guidance!$B$41</definedName>
    <definedName name="_Toc112658807" localSheetId="0">Guidance!$B$60</definedName>
    <definedName name="_Toc112671323" localSheetId="0">Guidance!$B$2</definedName>
    <definedName name="_Toc112671324" localSheetId="0">Guidance!$B$3</definedName>
    <definedName name="_Toc50979603" localSheetId="3">'Building Register'!$A$1</definedName>
    <definedName name="_Toc50979604" localSheetId="10">'Intangible Asset Register '!$A$1</definedName>
    <definedName name="_Toc50979605" localSheetId="11">'Stocks Consumables Register '!#REF!</definedName>
    <definedName name="_Toc50979606" localSheetId="12">'Railway register '!$A$1</definedName>
    <definedName name="_Toc50979607" localSheetId="13">'Roads Infastructure register '!$A$1</definedName>
    <definedName name="_Toc50979608" localSheetId="14">'Other Infastructure register '!$A$1</definedName>
    <definedName name="_Toc50979609" localSheetId="15">'Biological register '!$A$1</definedName>
    <definedName name="_Toc50979610" localSheetId="16">'Subsoil register '!$A$1</definedName>
    <definedName name="_Toc50979611" localSheetId="17">'Major maintenance register '!$A$1</definedName>
    <definedName name="_Toc50979612" localSheetId="18">'Work in progress register '!$A$1</definedName>
    <definedName name="_Toc50979614" localSheetId="20">'Cash register '!$A$1</definedName>
    <definedName name="_Toc50979615" localSheetId="21">'Bank register '!$A$1</definedName>
    <definedName name="_Toc50979616" localSheetId="22">'Loans receivables register'!$A$1</definedName>
    <definedName name="_Toc50979617" localSheetId="23">'Accounts receivables register '!$A$1</definedName>
    <definedName name="_Toc50979618" localSheetId="24">'Other receivables register '!$A$1</definedName>
    <definedName name="_Toc50979619" localSheetId="25">'Imprest register '!$A$1</definedName>
    <definedName name="_Toc50979620" localSheetId="26">'Loans payable register '!$A$1</definedName>
    <definedName name="_Toc50979621" localSheetId="27">'contigent Liabities register'!$A$1</definedName>
    <definedName name="_Toc50979622" localSheetId="28">'Accruals register '!$A$1</definedName>
    <definedName name="_Toc50979623" localSheetId="29">'Accounts payable register '!$A$1</definedName>
    <definedName name="_Toc50979624" localSheetId="30">'Pensions payable register'!$A$1</definedName>
    <definedName name="_Toc50979625" localSheetId="31">'Other liabilities register '!$A$1</definedName>
    <definedName name="_Toc50979626" localSheetId="32">'Asset movement form'!$A$1</definedName>
    <definedName name="_Toc50979627" localSheetId="33">'Revaluation Schedule '!$A$1</definedName>
    <definedName name="_Toc50979628" localSheetId="34">'Losses Register '!$A$1</definedName>
    <definedName name="_Toc50979629" localSheetId="35">'Guarantees &amp;indeminities '!$A$1</definedName>
    <definedName name="_Toc50979630" localSheetId="36">'Lease register '!$A$1</definedName>
    <definedName name="_Toc50979631" localSheetId="37">'Litigation Register '!$A$2</definedName>
    <definedName name="_Toc50979632" localSheetId="38">'Equipment sign out register '!$A$1</definedName>
    <definedName name="_Toc50979633" localSheetId="39">'Asset transfer form '!$A$1</definedName>
    <definedName name="_Toc50979634" localSheetId="40">'Asset Handover form'!$A$1</definedName>
    <definedName name="_Toc50979635" localSheetId="41">'Asset reconciliation report '!$A$1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0" i="72" l="1"/>
  <c r="O40" i="72" s="1"/>
  <c r="N40" i="72" s="1"/>
  <c r="E26" i="10"/>
  <c r="E25" i="10"/>
  <c r="E35" i="10" l="1"/>
  <c r="O3" i="71"/>
  <c r="O4" i="71"/>
  <c r="O5" i="71"/>
  <c r="O6" i="71"/>
  <c r="O7" i="71"/>
  <c r="O8" i="71"/>
  <c r="O9" i="71"/>
  <c r="O10" i="71"/>
  <c r="O11" i="71"/>
  <c r="O12" i="71"/>
  <c r="O13" i="71"/>
  <c r="O14" i="71"/>
  <c r="O15" i="71"/>
  <c r="O16" i="71"/>
  <c r="O17" i="71"/>
  <c r="O18" i="71"/>
  <c r="O19" i="71"/>
  <c r="O20" i="71"/>
  <c r="O21" i="71"/>
  <c r="O22" i="71"/>
  <c r="O23" i="71"/>
  <c r="O24" i="71"/>
  <c r="O25" i="71"/>
  <c r="O26" i="71"/>
  <c r="O27" i="71"/>
  <c r="O28" i="71"/>
  <c r="O29" i="71"/>
  <c r="O30" i="71"/>
  <c r="O31" i="71"/>
  <c r="O32" i="71"/>
  <c r="O33" i="71"/>
  <c r="O34" i="71"/>
  <c r="O35" i="71"/>
  <c r="O36" i="71"/>
  <c r="O37" i="71"/>
  <c r="O38" i="71"/>
  <c r="O39" i="71"/>
  <c r="O40" i="71"/>
  <c r="O41" i="71"/>
  <c r="O42" i="71"/>
  <c r="O43" i="71"/>
  <c r="O44" i="71"/>
  <c r="O45" i="71"/>
  <c r="O46" i="71"/>
  <c r="O47" i="71"/>
  <c r="O48" i="71"/>
  <c r="O49" i="71"/>
  <c r="O50" i="71"/>
  <c r="O51" i="71"/>
  <c r="O52" i="71"/>
  <c r="O53" i="71"/>
  <c r="O54" i="71"/>
  <c r="O55" i="71"/>
  <c r="O56" i="71"/>
  <c r="O57" i="71"/>
  <c r="O58" i="71"/>
  <c r="O59" i="71"/>
  <c r="O60" i="71"/>
  <c r="O61" i="71"/>
  <c r="O62" i="71"/>
  <c r="O63" i="71"/>
  <c r="O64" i="71"/>
  <c r="O65" i="71"/>
  <c r="O66" i="71"/>
  <c r="O2" i="71"/>
  <c r="O122" i="3"/>
  <c r="O123" i="3"/>
  <c r="O124" i="3"/>
  <c r="O125" i="3"/>
  <c r="N125" i="3" s="1"/>
  <c r="O126" i="3"/>
  <c r="N126" i="3" s="1"/>
  <c r="O127" i="3"/>
  <c r="O128" i="3"/>
  <c r="O129" i="3"/>
  <c r="N129" i="3" s="1"/>
  <c r="O130" i="3"/>
  <c r="O131" i="3"/>
  <c r="N131" i="3" s="1"/>
  <c r="O132" i="3"/>
  <c r="N132" i="3" s="1"/>
  <c r="O133" i="3"/>
  <c r="N133" i="3" s="1"/>
  <c r="O134" i="3"/>
  <c r="N134" i="3" s="1"/>
  <c r="O135" i="3"/>
  <c r="N135" i="3" s="1"/>
  <c r="O136" i="3"/>
  <c r="O137" i="3"/>
  <c r="O138" i="3"/>
  <c r="N138" i="3" s="1"/>
  <c r="O139" i="3"/>
  <c r="O140" i="3"/>
  <c r="O141" i="3"/>
  <c r="O142" i="3"/>
  <c r="N142" i="3" s="1"/>
  <c r="O143" i="3"/>
  <c r="N143" i="3" s="1"/>
  <c r="O144" i="3"/>
  <c r="N144" i="3" s="1"/>
  <c r="O145" i="3"/>
  <c r="N145" i="3" s="1"/>
  <c r="O146" i="3"/>
  <c r="O147" i="3"/>
  <c r="O148" i="3"/>
  <c r="O149" i="3"/>
  <c r="N149" i="3" s="1"/>
  <c r="O150" i="3"/>
  <c r="N150" i="3" s="1"/>
  <c r="O151" i="3"/>
  <c r="N151" i="3" s="1"/>
  <c r="O152" i="3"/>
  <c r="O153" i="3"/>
  <c r="O154" i="3"/>
  <c r="O155" i="3"/>
  <c r="N155" i="3" s="1"/>
  <c r="O156" i="3"/>
  <c r="N156" i="3" s="1"/>
  <c r="O157" i="3"/>
  <c r="N157" i="3" s="1"/>
  <c r="O158" i="3"/>
  <c r="N158" i="3" s="1"/>
  <c r="O159" i="3"/>
  <c r="N159" i="3" s="1"/>
  <c r="O160" i="3"/>
  <c r="N160" i="3" s="1"/>
  <c r="O161" i="3"/>
  <c r="N161" i="3" s="1"/>
  <c r="O162" i="3"/>
  <c r="N162" i="3" s="1"/>
  <c r="O163" i="3"/>
  <c r="N163" i="3" s="1"/>
  <c r="O164" i="3"/>
  <c r="O165" i="3"/>
  <c r="N165" i="3" s="1"/>
  <c r="O166" i="3"/>
  <c r="O167" i="3"/>
  <c r="N167" i="3" s="1"/>
  <c r="O168" i="3"/>
  <c r="N168" i="3" s="1"/>
  <c r="O169" i="3"/>
  <c r="O170" i="3"/>
  <c r="N170" i="3" s="1"/>
  <c r="O171" i="3"/>
  <c r="O172" i="3"/>
  <c r="N172" i="3" s="1"/>
  <c r="O173" i="3"/>
  <c r="N173" i="3" s="1"/>
  <c r="O174" i="3"/>
  <c r="N174" i="3" s="1"/>
  <c r="O175" i="3"/>
  <c r="O176" i="3"/>
  <c r="O177" i="3"/>
  <c r="N177" i="3" s="1"/>
  <c r="O178" i="3"/>
  <c r="O179" i="3"/>
  <c r="N179" i="3" s="1"/>
  <c r="O180" i="3"/>
  <c r="N180" i="3" s="1"/>
  <c r="O181" i="3"/>
  <c r="N181" i="3" s="1"/>
  <c r="O182" i="3"/>
  <c r="O183" i="3"/>
  <c r="O184" i="3"/>
  <c r="N184" i="3" s="1"/>
  <c r="O185" i="3"/>
  <c r="O186" i="3"/>
  <c r="N186" i="3" s="1"/>
  <c r="O187" i="3"/>
  <c r="O188" i="3"/>
  <c r="O189" i="3"/>
  <c r="N189" i="3" s="1"/>
  <c r="O190" i="3"/>
  <c r="N190" i="3" s="1"/>
  <c r="O191" i="3"/>
  <c r="N191" i="3" s="1"/>
  <c r="O192" i="3"/>
  <c r="N192" i="3" s="1"/>
  <c r="O193" i="3"/>
  <c r="O194" i="3"/>
  <c r="N194" i="3" s="1"/>
  <c r="O195" i="3"/>
  <c r="O196" i="3"/>
  <c r="O197" i="3"/>
  <c r="N197" i="3" s="1"/>
  <c r="O198" i="3"/>
  <c r="N198" i="3" s="1"/>
  <c r="O199" i="3"/>
  <c r="N199" i="3" s="1"/>
  <c r="O200" i="3"/>
  <c r="N200" i="3" s="1"/>
  <c r="O201" i="3"/>
  <c r="N201" i="3" s="1"/>
  <c r="O202" i="3"/>
  <c r="N202" i="3" s="1"/>
  <c r="O203" i="3"/>
  <c r="O204" i="3"/>
  <c r="N204" i="3" s="1"/>
  <c r="O205" i="3"/>
  <c r="N205" i="3" s="1"/>
  <c r="O206" i="3"/>
  <c r="N206" i="3" s="1"/>
  <c r="O207" i="3"/>
  <c r="N207" i="3" s="1"/>
  <c r="O208" i="3"/>
  <c r="N208" i="3" s="1"/>
  <c r="O209" i="3"/>
  <c r="N209" i="3" s="1"/>
  <c r="O211" i="3"/>
  <c r="N211" i="3" s="1"/>
  <c r="O212" i="3"/>
  <c r="N212" i="3" s="1"/>
  <c r="O213" i="3"/>
  <c r="O214" i="3"/>
  <c r="O215" i="3"/>
  <c r="O216" i="3"/>
  <c r="N216" i="3" s="1"/>
  <c r="O217" i="3"/>
  <c r="N217" i="3" s="1"/>
  <c r="O218" i="3"/>
  <c r="N218" i="3" s="1"/>
  <c r="O219" i="3"/>
  <c r="N219" i="3" s="1"/>
  <c r="O220" i="3"/>
  <c r="N220" i="3" s="1"/>
  <c r="O221" i="3"/>
  <c r="N221" i="3" s="1"/>
  <c r="O222" i="3"/>
  <c r="N222" i="3" s="1"/>
  <c r="O223" i="3"/>
  <c r="O224" i="3"/>
  <c r="N224" i="3" s="1"/>
  <c r="O225" i="3"/>
  <c r="O226" i="3"/>
  <c r="O227" i="3"/>
  <c r="O228" i="3"/>
  <c r="N228" i="3" s="1"/>
  <c r="O229" i="3"/>
  <c r="O230" i="3"/>
  <c r="N230" i="3" s="1"/>
  <c r="O231" i="3"/>
  <c r="N231" i="3" s="1"/>
  <c r="O232" i="3"/>
  <c r="N232" i="3" s="1"/>
  <c r="O233" i="3"/>
  <c r="N233" i="3" s="1"/>
  <c r="O234" i="3"/>
  <c r="N234" i="3" s="1"/>
  <c r="O235" i="3"/>
  <c r="N235" i="3" s="1"/>
  <c r="O236" i="3"/>
  <c r="N236" i="3" s="1"/>
  <c r="O237" i="3"/>
  <c r="N237" i="3" s="1"/>
  <c r="O238" i="3"/>
  <c r="O239" i="3"/>
  <c r="O240" i="3"/>
  <c r="N240" i="3" s="1"/>
  <c r="O241" i="3"/>
  <c r="O242" i="3"/>
  <c r="N242" i="3" s="1"/>
  <c r="O243" i="3"/>
  <c r="O244" i="3"/>
  <c r="O245" i="3"/>
  <c r="N245" i="3" s="1"/>
  <c r="O246" i="3"/>
  <c r="N246" i="3" s="1"/>
  <c r="O247" i="3"/>
  <c r="N247" i="3" s="1"/>
  <c r="O248" i="3"/>
  <c r="N248" i="3" s="1"/>
  <c r="O249" i="3"/>
  <c r="N249" i="3" s="1"/>
  <c r="O250" i="3"/>
  <c r="N250" i="3" s="1"/>
  <c r="O251" i="3"/>
  <c r="O252" i="3"/>
  <c r="N252" i="3" s="1"/>
  <c r="O253" i="3"/>
  <c r="O254" i="3"/>
  <c r="N254" i="3" s="1"/>
  <c r="O255" i="3"/>
  <c r="N255" i="3" s="1"/>
  <c r="O256" i="3"/>
  <c r="O257" i="3"/>
  <c r="N257" i="3" s="1"/>
  <c r="O258" i="3"/>
  <c r="N258" i="3" s="1"/>
  <c r="O259" i="3"/>
  <c r="O260" i="3"/>
  <c r="N260" i="3" s="1"/>
  <c r="O261" i="3"/>
  <c r="O262" i="3"/>
  <c r="N262" i="3" s="1"/>
  <c r="O263" i="3"/>
  <c r="N263" i="3" s="1"/>
  <c r="O264" i="3"/>
  <c r="N264" i="3" s="1"/>
  <c r="O265" i="3"/>
  <c r="O266" i="3"/>
  <c r="N266" i="3" s="1"/>
  <c r="O267" i="3"/>
  <c r="O268" i="3"/>
  <c r="O269" i="3"/>
  <c r="O270" i="3"/>
  <c r="N270" i="3" s="1"/>
  <c r="O271" i="3"/>
  <c r="O272" i="3"/>
  <c r="N272" i="3" s="1"/>
  <c r="O273" i="3"/>
  <c r="O274" i="3"/>
  <c r="N274" i="3" s="1"/>
  <c r="O275" i="3"/>
  <c r="N275" i="3" s="1"/>
  <c r="O276" i="3"/>
  <c r="N276" i="3" s="1"/>
  <c r="O277" i="3"/>
  <c r="O278" i="3"/>
  <c r="N278" i="3" s="1"/>
  <c r="O279" i="3"/>
  <c r="O280" i="3"/>
  <c r="N280" i="3" s="1"/>
  <c r="O281" i="3"/>
  <c r="N281" i="3" s="1"/>
  <c r="O282" i="3"/>
  <c r="N282" i="3" s="1"/>
  <c r="O283" i="3"/>
  <c r="O284" i="3"/>
  <c r="N284" i="3" s="1"/>
  <c r="O285" i="3"/>
  <c r="O286" i="3"/>
  <c r="O287" i="3"/>
  <c r="N287" i="3" s="1"/>
  <c r="O288" i="3"/>
  <c r="N288" i="3" s="1"/>
  <c r="O289" i="3"/>
  <c r="N289" i="3" s="1"/>
  <c r="O290" i="3"/>
  <c r="N290" i="3" s="1"/>
  <c r="O291" i="3"/>
  <c r="O292" i="3"/>
  <c r="N292" i="3" s="1"/>
  <c r="O293" i="3"/>
  <c r="N293" i="3" s="1"/>
  <c r="O294" i="3"/>
  <c r="N294" i="3" s="1"/>
  <c r="O295" i="3"/>
  <c r="O296" i="3"/>
  <c r="N296" i="3" s="1"/>
  <c r="O297" i="3"/>
  <c r="O298" i="3"/>
  <c r="N298" i="3" s="1"/>
  <c r="O299" i="3"/>
  <c r="N299" i="3" s="1"/>
  <c r="O300" i="3"/>
  <c r="N300" i="3" s="1"/>
  <c r="O301" i="3"/>
  <c r="O302" i="3"/>
  <c r="N302" i="3" s="1"/>
  <c r="O303" i="3"/>
  <c r="N303" i="3" s="1"/>
  <c r="O304" i="3"/>
  <c r="N304" i="3" s="1"/>
  <c r="O305" i="3"/>
  <c r="N305" i="3" s="1"/>
  <c r="O306" i="3"/>
  <c r="N306" i="3" s="1"/>
  <c r="O307" i="3"/>
  <c r="O308" i="3"/>
  <c r="N308" i="3" s="1"/>
  <c r="O309" i="3"/>
  <c r="O310" i="3"/>
  <c r="N310" i="3" s="1"/>
  <c r="O311" i="3"/>
  <c r="N311" i="3" s="1"/>
  <c r="O313" i="3"/>
  <c r="O315" i="3"/>
  <c r="O316" i="3"/>
  <c r="N316" i="3" s="1"/>
  <c r="O317" i="3"/>
  <c r="N317" i="3" s="1"/>
  <c r="O318" i="3"/>
  <c r="N318" i="3" s="1"/>
  <c r="O319" i="3"/>
  <c r="O320" i="3"/>
  <c r="N320" i="3" s="1"/>
  <c r="O321" i="3"/>
  <c r="N321" i="3" s="1"/>
  <c r="O322" i="3"/>
  <c r="N322" i="3" s="1"/>
  <c r="O323" i="3"/>
  <c r="N323" i="3" s="1"/>
  <c r="O324" i="3"/>
  <c r="N324" i="3" s="1"/>
  <c r="O325" i="3"/>
  <c r="O326" i="3"/>
  <c r="N326" i="3" s="1"/>
  <c r="O327" i="3"/>
  <c r="N327" i="3" s="1"/>
  <c r="O328" i="3"/>
  <c r="N328" i="3" s="1"/>
  <c r="O329" i="3"/>
  <c r="N329" i="3" s="1"/>
  <c r="O330" i="3"/>
  <c r="N330" i="3" s="1"/>
  <c r="O331" i="3"/>
  <c r="N331" i="3" s="1"/>
  <c r="O332" i="3"/>
  <c r="N332" i="3" s="1"/>
  <c r="O333" i="3"/>
  <c r="O334" i="3"/>
  <c r="O335" i="3"/>
  <c r="O336" i="3"/>
  <c r="N336" i="3" s="1"/>
  <c r="O337" i="3"/>
  <c r="O338" i="3"/>
  <c r="N338" i="3" s="1"/>
  <c r="O339" i="3"/>
  <c r="O340" i="3"/>
  <c r="N340" i="3" s="1"/>
  <c r="O341" i="3"/>
  <c r="N341" i="3" s="1"/>
  <c r="O342" i="3"/>
  <c r="N342" i="3" s="1"/>
  <c r="O343" i="3"/>
  <c r="O344" i="3"/>
  <c r="N344" i="3" s="1"/>
  <c r="O345" i="3"/>
  <c r="N345" i="3" s="1"/>
  <c r="O346" i="3"/>
  <c r="N346" i="3" s="1"/>
  <c r="O347" i="3"/>
  <c r="N347" i="3" s="1"/>
  <c r="O349" i="3"/>
  <c r="O351" i="3"/>
  <c r="N351" i="3" s="1"/>
  <c r="O353" i="3"/>
  <c r="N353" i="3" s="1"/>
  <c r="O354" i="3"/>
  <c r="N354" i="3" s="1"/>
  <c r="O355" i="3"/>
  <c r="N355" i="3" s="1"/>
  <c r="O356" i="3"/>
  <c r="N356" i="3" s="1"/>
  <c r="O357" i="3"/>
  <c r="N357" i="3" s="1"/>
  <c r="O359" i="3"/>
  <c r="N359" i="3" s="1"/>
  <c r="O360" i="3"/>
  <c r="N360" i="3" s="1"/>
  <c r="O362" i="3"/>
  <c r="N362" i="3" s="1"/>
  <c r="O363" i="3"/>
  <c r="N363" i="3" s="1"/>
  <c r="O371" i="3"/>
  <c r="N371" i="3" s="1"/>
  <c r="O372" i="3"/>
  <c r="N372" i="3" s="1"/>
  <c r="O373" i="3"/>
  <c r="N373" i="3" s="1"/>
  <c r="O380" i="3"/>
  <c r="N380" i="3" s="1"/>
  <c r="O381" i="3"/>
  <c r="N381" i="3" s="1"/>
  <c r="O382" i="3"/>
  <c r="N382" i="3" s="1"/>
  <c r="O383" i="3"/>
  <c r="N383" i="3" s="1"/>
  <c r="O384" i="3"/>
  <c r="N384" i="3" s="1"/>
  <c r="O385" i="3"/>
  <c r="O386" i="3"/>
  <c r="N386" i="3" s="1"/>
  <c r="N122" i="3"/>
  <c r="N124" i="3"/>
  <c r="N127" i="3"/>
  <c r="N128" i="3"/>
  <c r="N130" i="3"/>
  <c r="N136" i="3"/>
  <c r="N137" i="3"/>
  <c r="N139" i="3"/>
  <c r="N140" i="3"/>
  <c r="N141" i="3"/>
  <c r="N146" i="3"/>
  <c r="N147" i="3"/>
  <c r="N148" i="3"/>
  <c r="N152" i="3"/>
  <c r="N153" i="3"/>
  <c r="N154" i="3"/>
  <c r="N164" i="3"/>
  <c r="N166" i="3"/>
  <c r="N169" i="3"/>
  <c r="N171" i="3"/>
  <c r="N175" i="3"/>
  <c r="N176" i="3"/>
  <c r="N178" i="3"/>
  <c r="N182" i="3"/>
  <c r="N183" i="3"/>
  <c r="N185" i="3"/>
  <c r="N187" i="3"/>
  <c r="N188" i="3"/>
  <c r="N193" i="3"/>
  <c r="N195" i="3"/>
  <c r="N196" i="3"/>
  <c r="N203" i="3"/>
  <c r="N213" i="3"/>
  <c r="N214" i="3"/>
  <c r="N215" i="3"/>
  <c r="N223" i="3"/>
  <c r="N225" i="3"/>
  <c r="N226" i="3"/>
  <c r="N227" i="3"/>
  <c r="N229" i="3"/>
  <c r="N238" i="3"/>
  <c r="N239" i="3"/>
  <c r="N241" i="3"/>
  <c r="N243" i="3"/>
  <c r="N244" i="3"/>
  <c r="N251" i="3"/>
  <c r="N253" i="3"/>
  <c r="N256" i="3"/>
  <c r="N259" i="3"/>
  <c r="N261" i="3"/>
  <c r="N265" i="3"/>
  <c r="N267" i="3"/>
  <c r="N268" i="3"/>
  <c r="N269" i="3"/>
  <c r="N271" i="3"/>
  <c r="N273" i="3"/>
  <c r="N277" i="3"/>
  <c r="N279" i="3"/>
  <c r="N283" i="3"/>
  <c r="N285" i="3"/>
  <c r="N286" i="3"/>
  <c r="N291" i="3"/>
  <c r="N295" i="3"/>
  <c r="N297" i="3"/>
  <c r="N301" i="3"/>
  <c r="N307" i="3"/>
  <c r="N309" i="3"/>
  <c r="N313" i="3"/>
  <c r="N315" i="3"/>
  <c r="N319" i="3"/>
  <c r="N325" i="3"/>
  <c r="N333" i="3"/>
  <c r="N334" i="3"/>
  <c r="N335" i="3"/>
  <c r="N337" i="3"/>
  <c r="N339" i="3"/>
  <c r="N343" i="3"/>
  <c r="N349" i="3"/>
  <c r="N385" i="3"/>
  <c r="O3" i="3"/>
  <c r="O4" i="3"/>
  <c r="M4" i="3" s="1"/>
  <c r="O5" i="3"/>
  <c r="N5" i="3" s="1"/>
  <c r="O6" i="3"/>
  <c r="N6" i="3" s="1"/>
  <c r="O7" i="3"/>
  <c r="N7" i="3" s="1"/>
  <c r="O8" i="3"/>
  <c r="N8" i="3" s="1"/>
  <c r="O9" i="3"/>
  <c r="N9" i="3" s="1"/>
  <c r="O10" i="3"/>
  <c r="M10" i="3" s="1"/>
  <c r="O11" i="3"/>
  <c r="N11" i="3" s="1"/>
  <c r="O12" i="3"/>
  <c r="M12" i="3" s="1"/>
  <c r="O13" i="3"/>
  <c r="M13" i="3" s="1"/>
  <c r="O14" i="3"/>
  <c r="N14" i="3" s="1"/>
  <c r="O15" i="3"/>
  <c r="N15" i="3" s="1"/>
  <c r="O16" i="3"/>
  <c r="O17" i="3"/>
  <c r="N17" i="3" s="1"/>
  <c r="O18" i="3"/>
  <c r="M18" i="3" s="1"/>
  <c r="O19" i="3"/>
  <c r="M19" i="3" s="1"/>
  <c r="O20" i="3"/>
  <c r="N20" i="3" s="1"/>
  <c r="O21" i="3"/>
  <c r="N21" i="3" s="1"/>
  <c r="O22" i="3"/>
  <c r="N22" i="3" s="1"/>
  <c r="O23" i="3"/>
  <c r="N23" i="3" s="1"/>
  <c r="O24" i="3"/>
  <c r="O25" i="3"/>
  <c r="M25" i="3" s="1"/>
  <c r="O26" i="3"/>
  <c r="N26" i="3" s="1"/>
  <c r="O27" i="3"/>
  <c r="N27" i="3" s="1"/>
  <c r="O28" i="3"/>
  <c r="M28" i="3" s="1"/>
  <c r="O29" i="3"/>
  <c r="N29" i="3" s="1"/>
  <c r="O30" i="3"/>
  <c r="N30" i="3" s="1"/>
  <c r="O31" i="3"/>
  <c r="N31" i="3" s="1"/>
  <c r="O32" i="3"/>
  <c r="N32" i="3" s="1"/>
  <c r="O33" i="3"/>
  <c r="N33" i="3" s="1"/>
  <c r="O34" i="3"/>
  <c r="O35" i="3"/>
  <c r="N35" i="3" s="1"/>
  <c r="O36" i="3"/>
  <c r="M36" i="3" s="1"/>
  <c r="O37" i="3"/>
  <c r="M37" i="3" s="1"/>
  <c r="O38" i="3"/>
  <c r="N38" i="3" s="1"/>
  <c r="O39" i="3"/>
  <c r="N39" i="3" s="1"/>
  <c r="O40" i="3"/>
  <c r="O41" i="3"/>
  <c r="N41" i="3" s="1"/>
  <c r="O42" i="3"/>
  <c r="N42" i="3" s="1"/>
  <c r="O43" i="3"/>
  <c r="N43" i="3" s="1"/>
  <c r="O44" i="3"/>
  <c r="N44" i="3" s="1"/>
  <c r="O45" i="3"/>
  <c r="N45" i="3" s="1"/>
  <c r="O46" i="3"/>
  <c r="N46" i="3" s="1"/>
  <c r="O47" i="3"/>
  <c r="N47" i="3" s="1"/>
  <c r="O48" i="3"/>
  <c r="M48" i="3" s="1"/>
  <c r="O49" i="3"/>
  <c r="M49" i="3" s="1"/>
  <c r="O50" i="3"/>
  <c r="N50" i="3" s="1"/>
  <c r="O51" i="3"/>
  <c r="N51" i="3" s="1"/>
  <c r="O52" i="3"/>
  <c r="N52" i="3" s="1"/>
  <c r="O53" i="3"/>
  <c r="N53" i="3" s="1"/>
  <c r="O54" i="3"/>
  <c r="M54" i="3" s="1"/>
  <c r="O55" i="3"/>
  <c r="M55" i="3" s="1"/>
  <c r="O56" i="3"/>
  <c r="N56" i="3" s="1"/>
  <c r="O57" i="3"/>
  <c r="N57" i="3" s="1"/>
  <c r="O58" i="3"/>
  <c r="M58" i="3" s="1"/>
  <c r="O59" i="3"/>
  <c r="N59" i="3" s="1"/>
  <c r="O60" i="3"/>
  <c r="M60" i="3" s="1"/>
  <c r="O61" i="3"/>
  <c r="M61" i="3" s="1"/>
  <c r="O62" i="3"/>
  <c r="N62" i="3" s="1"/>
  <c r="O63" i="3"/>
  <c r="N63" i="3" s="1"/>
  <c r="O64" i="3"/>
  <c r="O65" i="3"/>
  <c r="N65" i="3" s="1"/>
  <c r="O66" i="3"/>
  <c r="N66" i="3" s="1"/>
  <c r="O67" i="3"/>
  <c r="N67" i="3" s="1"/>
  <c r="O68" i="3"/>
  <c r="N68" i="3" s="1"/>
  <c r="O69" i="3"/>
  <c r="N69" i="3" s="1"/>
  <c r="O70" i="3"/>
  <c r="N70" i="3" s="1"/>
  <c r="O71" i="3"/>
  <c r="N71" i="3" s="1"/>
  <c r="O72" i="3"/>
  <c r="N72" i="3" s="1"/>
  <c r="O73" i="3"/>
  <c r="M73" i="3" s="1"/>
  <c r="O74" i="3"/>
  <c r="N74" i="3" s="1"/>
  <c r="O75" i="3"/>
  <c r="N75" i="3" s="1"/>
  <c r="O76" i="3"/>
  <c r="M76" i="3" s="1"/>
  <c r="O77" i="3"/>
  <c r="N77" i="3" s="1"/>
  <c r="O78" i="3"/>
  <c r="N78" i="3" s="1"/>
  <c r="O79" i="3"/>
  <c r="N79" i="3" s="1"/>
  <c r="O80" i="3"/>
  <c r="N80" i="3" s="1"/>
  <c r="O81" i="3"/>
  <c r="N81" i="3" s="1"/>
  <c r="O82" i="3"/>
  <c r="M82" i="3" s="1"/>
  <c r="O83" i="3"/>
  <c r="N83" i="3" s="1"/>
  <c r="O84" i="3"/>
  <c r="M84" i="3" s="1"/>
  <c r="O85" i="3"/>
  <c r="M85" i="3" s="1"/>
  <c r="O86" i="3"/>
  <c r="N86" i="3" s="1"/>
  <c r="O87" i="3"/>
  <c r="N87" i="3" s="1"/>
  <c r="O88" i="3"/>
  <c r="M88" i="3" s="1"/>
  <c r="O89" i="3"/>
  <c r="N89" i="3" s="1"/>
  <c r="O90" i="3"/>
  <c r="N90" i="3" s="1"/>
  <c r="O91" i="3"/>
  <c r="N91" i="3" s="1"/>
  <c r="O92" i="3"/>
  <c r="N92" i="3" s="1"/>
  <c r="O93" i="3"/>
  <c r="N93" i="3" s="1"/>
  <c r="O94" i="3"/>
  <c r="M94" i="3" s="1"/>
  <c r="O95" i="3"/>
  <c r="N95" i="3" s="1"/>
  <c r="O96" i="3"/>
  <c r="M96" i="3" s="1"/>
  <c r="O97" i="3"/>
  <c r="M97" i="3" s="1"/>
  <c r="O98" i="3"/>
  <c r="N98" i="3" s="1"/>
  <c r="O99" i="3"/>
  <c r="N99" i="3" s="1"/>
  <c r="O100" i="3"/>
  <c r="M100" i="3" s="1"/>
  <c r="O101" i="3"/>
  <c r="N101" i="3" s="1"/>
  <c r="O102" i="3"/>
  <c r="N102" i="3" s="1"/>
  <c r="O103" i="3"/>
  <c r="M103" i="3" s="1"/>
  <c r="O104" i="3"/>
  <c r="N104" i="3" s="1"/>
  <c r="O105" i="3"/>
  <c r="N105" i="3" s="1"/>
  <c r="O106" i="3"/>
  <c r="M106" i="3" s="1"/>
  <c r="O107" i="3"/>
  <c r="N107" i="3" s="1"/>
  <c r="O108" i="3"/>
  <c r="M108" i="3" s="1"/>
  <c r="O109" i="3"/>
  <c r="M109" i="3" s="1"/>
  <c r="O110" i="3"/>
  <c r="N110" i="3" s="1"/>
  <c r="O111" i="3"/>
  <c r="N111" i="3" s="1"/>
  <c r="O112" i="3"/>
  <c r="M112" i="3" s="1"/>
  <c r="O113" i="3"/>
  <c r="N113" i="3" s="1"/>
  <c r="O114" i="3"/>
  <c r="M114" i="3" s="1"/>
  <c r="O115" i="3"/>
  <c r="M115" i="3" s="1"/>
  <c r="O116" i="3"/>
  <c r="M116" i="3" s="1"/>
  <c r="O117" i="3"/>
  <c r="N117" i="3" s="1"/>
  <c r="O118" i="3"/>
  <c r="O119" i="3"/>
  <c r="N119" i="3" s="1"/>
  <c r="O120" i="3"/>
  <c r="M120" i="3" s="1"/>
  <c r="O121" i="3"/>
  <c r="N4" i="3"/>
  <c r="N10" i="3"/>
  <c r="N12" i="3"/>
  <c r="N13" i="3"/>
  <c r="N16" i="3"/>
  <c r="N24" i="3"/>
  <c r="N25" i="3"/>
  <c r="N28" i="3"/>
  <c r="N34" i="3"/>
  <c r="N36" i="3"/>
  <c r="N37" i="3"/>
  <c r="N40" i="3"/>
  <c r="N48" i="3"/>
  <c r="N49" i="3"/>
  <c r="N58" i="3"/>
  <c r="N60" i="3"/>
  <c r="N61" i="3"/>
  <c r="N64" i="3"/>
  <c r="N73" i="3"/>
  <c r="N82" i="3"/>
  <c r="N85" i="3"/>
  <c r="N88" i="3"/>
  <c r="N94" i="3"/>
  <c r="N96" i="3"/>
  <c r="N97" i="3"/>
  <c r="N106" i="3"/>
  <c r="N109" i="3"/>
  <c r="N112" i="3"/>
  <c r="N118" i="3"/>
  <c r="N120" i="3"/>
  <c r="N121" i="3"/>
  <c r="M113" i="3"/>
  <c r="M118" i="3"/>
  <c r="M119" i="3"/>
  <c r="M121" i="3"/>
  <c r="M5" i="3"/>
  <c r="M9" i="3"/>
  <c r="M16" i="3"/>
  <c r="M17" i="3"/>
  <c r="M22" i="3"/>
  <c r="M23" i="3"/>
  <c r="M24" i="3"/>
  <c r="M29" i="3"/>
  <c r="M30" i="3"/>
  <c r="M31" i="3"/>
  <c r="M34" i="3"/>
  <c r="M39" i="3"/>
  <c r="M40" i="3"/>
  <c r="M41" i="3"/>
  <c r="M45" i="3"/>
  <c r="M46" i="3"/>
  <c r="M47" i="3"/>
  <c r="M52" i="3"/>
  <c r="M53" i="3"/>
  <c r="M63" i="3"/>
  <c r="M64" i="3"/>
  <c r="M65" i="3"/>
  <c r="M66" i="3"/>
  <c r="M70" i="3"/>
  <c r="M77" i="3"/>
  <c r="M87" i="3"/>
  <c r="M93" i="3"/>
  <c r="M95" i="3"/>
  <c r="M101" i="3"/>
  <c r="M105" i="3"/>
  <c r="O2" i="3"/>
  <c r="M2" i="3" s="1"/>
  <c r="Q3" i="6"/>
  <c r="P3" i="6" s="1"/>
  <c r="O3" i="6" s="1"/>
  <c r="P3" i="72"/>
  <c r="O3" i="72" s="1"/>
  <c r="N2" i="3" l="1"/>
  <c r="N84" i="3"/>
  <c r="M111" i="3"/>
  <c r="M83" i="3"/>
  <c r="M11" i="3"/>
  <c r="N100" i="3"/>
  <c r="N76" i="3"/>
  <c r="N108" i="3"/>
  <c r="M102" i="3"/>
  <c r="M75" i="3"/>
  <c r="M59" i="3"/>
  <c r="M27" i="3"/>
  <c r="M67" i="3"/>
  <c r="M35" i="3"/>
  <c r="M99" i="3"/>
  <c r="M90" i="3"/>
  <c r="M81" i="3"/>
  <c r="M72" i="3"/>
  <c r="M51" i="3"/>
  <c r="M43" i="3"/>
  <c r="M15" i="3"/>
  <c r="M7" i="3"/>
  <c r="M91" i="3"/>
  <c r="M107" i="3"/>
  <c r="M89" i="3"/>
  <c r="M79" i="3"/>
  <c r="M71" i="3"/>
  <c r="M57" i="3"/>
  <c r="M42" i="3"/>
  <c r="M21" i="3"/>
  <c r="M6" i="3"/>
  <c r="M117" i="3"/>
  <c r="N115" i="3"/>
  <c r="N103" i="3"/>
  <c r="N55" i="3"/>
  <c r="N19" i="3"/>
  <c r="N114" i="3"/>
  <c r="M78" i="3"/>
  <c r="N54" i="3"/>
  <c r="N18" i="3"/>
  <c r="M69" i="3"/>
  <c r="M33" i="3"/>
  <c r="N123" i="3"/>
  <c r="M110" i="3"/>
  <c r="M104" i="3"/>
  <c r="M98" i="3"/>
  <c r="M92" i="3"/>
  <c r="M86" i="3"/>
  <c r="M80" i="3"/>
  <c r="M74" i="3"/>
  <c r="M68" i="3"/>
  <c r="M62" i="3"/>
  <c r="M56" i="3"/>
  <c r="M50" i="3"/>
  <c r="M44" i="3"/>
  <c r="M38" i="3"/>
  <c r="M32" i="3"/>
  <c r="M26" i="3"/>
  <c r="M20" i="3"/>
  <c r="M14" i="3"/>
  <c r="M8" i="3"/>
  <c r="N116" i="3"/>
  <c r="P221" i="72" l="1"/>
  <c r="O221" i="72" s="1"/>
  <c r="M223" i="72"/>
  <c r="L223" i="72"/>
  <c r="C7" i="70" s="1"/>
  <c r="D7" i="70" s="1"/>
  <c r="P4" i="72"/>
  <c r="O4" i="72" s="1"/>
  <c r="N4" i="72" s="1"/>
  <c r="P5" i="72"/>
  <c r="O5" i="72" s="1"/>
  <c r="N5" i="72" s="1"/>
  <c r="P6" i="72"/>
  <c r="O6" i="72" s="1"/>
  <c r="N6" i="72" s="1"/>
  <c r="P7" i="72"/>
  <c r="O7" i="72" s="1"/>
  <c r="N7" i="72" s="1"/>
  <c r="P8" i="72"/>
  <c r="O8" i="72" s="1"/>
  <c r="N8" i="72" s="1"/>
  <c r="P9" i="72"/>
  <c r="O9" i="72" s="1"/>
  <c r="N9" i="72" s="1"/>
  <c r="P10" i="72"/>
  <c r="O10" i="72" s="1"/>
  <c r="N10" i="72" s="1"/>
  <c r="P11" i="72"/>
  <c r="O11" i="72" s="1"/>
  <c r="N11" i="72" s="1"/>
  <c r="P12" i="72"/>
  <c r="O12" i="72" s="1"/>
  <c r="N12" i="72" s="1"/>
  <c r="P13" i="72"/>
  <c r="O13" i="72" s="1"/>
  <c r="N13" i="72" s="1"/>
  <c r="P14" i="72"/>
  <c r="O14" i="72" s="1"/>
  <c r="N14" i="72" s="1"/>
  <c r="P15" i="72"/>
  <c r="O15" i="72" s="1"/>
  <c r="N15" i="72" s="1"/>
  <c r="P16" i="72"/>
  <c r="O16" i="72" s="1"/>
  <c r="N16" i="72" s="1"/>
  <c r="P17" i="72"/>
  <c r="O17" i="72" s="1"/>
  <c r="N17" i="72" s="1"/>
  <c r="P18" i="72"/>
  <c r="O18" i="72" s="1"/>
  <c r="N18" i="72" s="1"/>
  <c r="P19" i="72"/>
  <c r="O19" i="72" s="1"/>
  <c r="N19" i="72" s="1"/>
  <c r="P20" i="72"/>
  <c r="O20" i="72" s="1"/>
  <c r="N20" i="72" s="1"/>
  <c r="P21" i="72"/>
  <c r="O21" i="72" s="1"/>
  <c r="N21" i="72" s="1"/>
  <c r="P22" i="72"/>
  <c r="O22" i="72" s="1"/>
  <c r="N22" i="72" s="1"/>
  <c r="P23" i="72"/>
  <c r="O23" i="72" s="1"/>
  <c r="N23" i="72" s="1"/>
  <c r="P24" i="72"/>
  <c r="O24" i="72" s="1"/>
  <c r="N24" i="72" s="1"/>
  <c r="P25" i="72"/>
  <c r="O25" i="72" s="1"/>
  <c r="N25" i="72" s="1"/>
  <c r="P26" i="72"/>
  <c r="O26" i="72" s="1"/>
  <c r="N26" i="72" s="1"/>
  <c r="P27" i="72"/>
  <c r="O27" i="72" s="1"/>
  <c r="N27" i="72" s="1"/>
  <c r="P28" i="72"/>
  <c r="O28" i="72" s="1"/>
  <c r="N28" i="72" s="1"/>
  <c r="P29" i="72"/>
  <c r="O29" i="72" s="1"/>
  <c r="N29" i="72" s="1"/>
  <c r="P30" i="72"/>
  <c r="O30" i="72" s="1"/>
  <c r="N30" i="72" s="1"/>
  <c r="P31" i="72"/>
  <c r="O31" i="72" s="1"/>
  <c r="N31" i="72" s="1"/>
  <c r="P32" i="72"/>
  <c r="O32" i="72" s="1"/>
  <c r="N32" i="72" s="1"/>
  <c r="P33" i="72"/>
  <c r="O33" i="72" s="1"/>
  <c r="N33" i="72" s="1"/>
  <c r="P34" i="72"/>
  <c r="O34" i="72" s="1"/>
  <c r="N34" i="72" s="1"/>
  <c r="P35" i="72"/>
  <c r="O35" i="72" s="1"/>
  <c r="N35" i="72" s="1"/>
  <c r="P36" i="72"/>
  <c r="O36" i="72" s="1"/>
  <c r="N36" i="72" s="1"/>
  <c r="P37" i="72"/>
  <c r="O37" i="72" s="1"/>
  <c r="N37" i="72" s="1"/>
  <c r="P38" i="72"/>
  <c r="O38" i="72" s="1"/>
  <c r="N38" i="72" s="1"/>
  <c r="P39" i="72"/>
  <c r="O39" i="72" s="1"/>
  <c r="N39" i="72" s="1"/>
  <c r="P41" i="72"/>
  <c r="O41" i="72" s="1"/>
  <c r="N41" i="72" s="1"/>
  <c r="P42" i="72"/>
  <c r="O42" i="72" s="1"/>
  <c r="N42" i="72" s="1"/>
  <c r="P43" i="72"/>
  <c r="O43" i="72" s="1"/>
  <c r="N43" i="72" s="1"/>
  <c r="P44" i="72"/>
  <c r="O44" i="72" s="1"/>
  <c r="N44" i="72" s="1"/>
  <c r="P45" i="72"/>
  <c r="O45" i="72" s="1"/>
  <c r="N45" i="72" s="1"/>
  <c r="P46" i="72"/>
  <c r="O46" i="72" s="1"/>
  <c r="N46" i="72" s="1"/>
  <c r="P47" i="72"/>
  <c r="O47" i="72" s="1"/>
  <c r="N47" i="72" s="1"/>
  <c r="P48" i="72"/>
  <c r="O48" i="72" s="1"/>
  <c r="N48" i="72" s="1"/>
  <c r="P49" i="72"/>
  <c r="O49" i="72" s="1"/>
  <c r="N49" i="72" s="1"/>
  <c r="P50" i="72"/>
  <c r="O50" i="72" s="1"/>
  <c r="N50" i="72" s="1"/>
  <c r="P51" i="72"/>
  <c r="O51" i="72" s="1"/>
  <c r="N51" i="72" s="1"/>
  <c r="P52" i="72"/>
  <c r="O52" i="72" s="1"/>
  <c r="N52" i="72" s="1"/>
  <c r="P53" i="72"/>
  <c r="O53" i="72" s="1"/>
  <c r="N53" i="72" s="1"/>
  <c r="P54" i="72"/>
  <c r="O54" i="72" s="1"/>
  <c r="N54" i="72" s="1"/>
  <c r="P55" i="72"/>
  <c r="O55" i="72" s="1"/>
  <c r="N55" i="72" s="1"/>
  <c r="P56" i="72"/>
  <c r="O56" i="72" s="1"/>
  <c r="N56" i="72" s="1"/>
  <c r="P57" i="72"/>
  <c r="O57" i="72" s="1"/>
  <c r="N57" i="72" s="1"/>
  <c r="P58" i="72"/>
  <c r="O58" i="72" s="1"/>
  <c r="N58" i="72" s="1"/>
  <c r="P59" i="72"/>
  <c r="O59" i="72" s="1"/>
  <c r="N59" i="72" s="1"/>
  <c r="P60" i="72"/>
  <c r="O60" i="72" s="1"/>
  <c r="N60" i="72" s="1"/>
  <c r="P61" i="72"/>
  <c r="O61" i="72" s="1"/>
  <c r="N61" i="72" s="1"/>
  <c r="P62" i="72"/>
  <c r="O62" i="72" s="1"/>
  <c r="N62" i="72" s="1"/>
  <c r="P63" i="72"/>
  <c r="O63" i="72" s="1"/>
  <c r="N63" i="72" s="1"/>
  <c r="P64" i="72"/>
  <c r="O64" i="72" s="1"/>
  <c r="N64" i="72" s="1"/>
  <c r="P65" i="72"/>
  <c r="O65" i="72" s="1"/>
  <c r="N65" i="72" s="1"/>
  <c r="P66" i="72"/>
  <c r="O66" i="72" s="1"/>
  <c r="N66" i="72" s="1"/>
  <c r="P67" i="72"/>
  <c r="O67" i="72" s="1"/>
  <c r="N67" i="72" s="1"/>
  <c r="P68" i="72"/>
  <c r="O68" i="72" s="1"/>
  <c r="N68" i="72" s="1"/>
  <c r="P69" i="72"/>
  <c r="O69" i="72" s="1"/>
  <c r="N69" i="72" s="1"/>
  <c r="P70" i="72"/>
  <c r="O70" i="72" s="1"/>
  <c r="N70" i="72" s="1"/>
  <c r="P71" i="72"/>
  <c r="O71" i="72" s="1"/>
  <c r="N71" i="72" s="1"/>
  <c r="P72" i="72"/>
  <c r="O72" i="72" s="1"/>
  <c r="N72" i="72" s="1"/>
  <c r="P73" i="72"/>
  <c r="O73" i="72" s="1"/>
  <c r="N73" i="72" s="1"/>
  <c r="P74" i="72"/>
  <c r="O74" i="72" s="1"/>
  <c r="N74" i="72" s="1"/>
  <c r="P75" i="72"/>
  <c r="O75" i="72" s="1"/>
  <c r="N75" i="72" s="1"/>
  <c r="P76" i="72"/>
  <c r="O76" i="72" s="1"/>
  <c r="N76" i="72" s="1"/>
  <c r="P77" i="72"/>
  <c r="O77" i="72" s="1"/>
  <c r="N77" i="72" s="1"/>
  <c r="P78" i="72"/>
  <c r="O78" i="72" s="1"/>
  <c r="N78" i="72" s="1"/>
  <c r="P79" i="72"/>
  <c r="O79" i="72" s="1"/>
  <c r="N79" i="72" s="1"/>
  <c r="P80" i="72"/>
  <c r="O80" i="72" s="1"/>
  <c r="N80" i="72" s="1"/>
  <c r="P81" i="72"/>
  <c r="O81" i="72" s="1"/>
  <c r="N81" i="72" s="1"/>
  <c r="P82" i="72"/>
  <c r="O82" i="72" s="1"/>
  <c r="N82" i="72" s="1"/>
  <c r="P83" i="72"/>
  <c r="O83" i="72" s="1"/>
  <c r="N83" i="72" s="1"/>
  <c r="P84" i="72"/>
  <c r="O84" i="72" s="1"/>
  <c r="N84" i="72" s="1"/>
  <c r="P85" i="72"/>
  <c r="O85" i="72" s="1"/>
  <c r="N85" i="72" s="1"/>
  <c r="P86" i="72"/>
  <c r="O86" i="72" s="1"/>
  <c r="N86" i="72" s="1"/>
  <c r="P87" i="72"/>
  <c r="O87" i="72" s="1"/>
  <c r="N87" i="72" s="1"/>
  <c r="P88" i="72"/>
  <c r="O88" i="72" s="1"/>
  <c r="N88" i="72" s="1"/>
  <c r="P89" i="72"/>
  <c r="O89" i="72" s="1"/>
  <c r="N89" i="72" s="1"/>
  <c r="P90" i="72"/>
  <c r="O90" i="72" s="1"/>
  <c r="N90" i="72" s="1"/>
  <c r="P91" i="72"/>
  <c r="O91" i="72" s="1"/>
  <c r="N91" i="72" s="1"/>
  <c r="P92" i="72"/>
  <c r="O92" i="72" s="1"/>
  <c r="N92" i="72" s="1"/>
  <c r="P93" i="72"/>
  <c r="O93" i="72" s="1"/>
  <c r="N93" i="72" s="1"/>
  <c r="P94" i="72"/>
  <c r="O94" i="72" s="1"/>
  <c r="N94" i="72" s="1"/>
  <c r="P95" i="72"/>
  <c r="O95" i="72" s="1"/>
  <c r="N95" i="72" s="1"/>
  <c r="P96" i="72"/>
  <c r="O96" i="72" s="1"/>
  <c r="N96" i="72" s="1"/>
  <c r="P97" i="72"/>
  <c r="O97" i="72" s="1"/>
  <c r="N97" i="72" s="1"/>
  <c r="P98" i="72"/>
  <c r="O98" i="72" s="1"/>
  <c r="N98" i="72" s="1"/>
  <c r="P99" i="72"/>
  <c r="O99" i="72" s="1"/>
  <c r="N99" i="72" s="1"/>
  <c r="P100" i="72"/>
  <c r="O100" i="72" s="1"/>
  <c r="N100" i="72" s="1"/>
  <c r="P101" i="72"/>
  <c r="O101" i="72" s="1"/>
  <c r="N101" i="72" s="1"/>
  <c r="P102" i="72"/>
  <c r="O102" i="72" s="1"/>
  <c r="N102" i="72" s="1"/>
  <c r="P103" i="72"/>
  <c r="O103" i="72" s="1"/>
  <c r="N103" i="72" s="1"/>
  <c r="P104" i="72"/>
  <c r="O104" i="72" s="1"/>
  <c r="N104" i="72" s="1"/>
  <c r="P105" i="72"/>
  <c r="O105" i="72" s="1"/>
  <c r="N105" i="72" s="1"/>
  <c r="P106" i="72"/>
  <c r="O106" i="72" s="1"/>
  <c r="N106" i="72" s="1"/>
  <c r="P107" i="72"/>
  <c r="O107" i="72" s="1"/>
  <c r="N107" i="72" s="1"/>
  <c r="P108" i="72"/>
  <c r="O108" i="72" s="1"/>
  <c r="N108" i="72" s="1"/>
  <c r="P109" i="72"/>
  <c r="O109" i="72" s="1"/>
  <c r="N109" i="72" s="1"/>
  <c r="P110" i="72"/>
  <c r="O110" i="72" s="1"/>
  <c r="N110" i="72" s="1"/>
  <c r="P111" i="72"/>
  <c r="O111" i="72" s="1"/>
  <c r="N111" i="72" s="1"/>
  <c r="P112" i="72"/>
  <c r="O112" i="72" s="1"/>
  <c r="N112" i="72" s="1"/>
  <c r="P113" i="72"/>
  <c r="O113" i="72" s="1"/>
  <c r="N113" i="72" s="1"/>
  <c r="P114" i="72"/>
  <c r="O114" i="72" s="1"/>
  <c r="N114" i="72" s="1"/>
  <c r="P115" i="72"/>
  <c r="O115" i="72" s="1"/>
  <c r="N115" i="72" s="1"/>
  <c r="P116" i="72"/>
  <c r="O116" i="72" s="1"/>
  <c r="N116" i="72" s="1"/>
  <c r="P117" i="72"/>
  <c r="O117" i="72" s="1"/>
  <c r="N117" i="72" s="1"/>
  <c r="P118" i="72"/>
  <c r="O118" i="72" s="1"/>
  <c r="N118" i="72" s="1"/>
  <c r="P119" i="72"/>
  <c r="O119" i="72" s="1"/>
  <c r="N119" i="72" s="1"/>
  <c r="P120" i="72"/>
  <c r="O120" i="72" s="1"/>
  <c r="N120" i="72" s="1"/>
  <c r="P121" i="72"/>
  <c r="O121" i="72" s="1"/>
  <c r="N121" i="72" s="1"/>
  <c r="P122" i="72"/>
  <c r="O122" i="72" s="1"/>
  <c r="N122" i="72" s="1"/>
  <c r="P123" i="72"/>
  <c r="O123" i="72" s="1"/>
  <c r="N123" i="72" s="1"/>
  <c r="P124" i="72"/>
  <c r="O124" i="72" s="1"/>
  <c r="N124" i="72" s="1"/>
  <c r="P125" i="72"/>
  <c r="O125" i="72" s="1"/>
  <c r="N125" i="72" s="1"/>
  <c r="P126" i="72"/>
  <c r="O126" i="72" s="1"/>
  <c r="N126" i="72" s="1"/>
  <c r="P127" i="72"/>
  <c r="O127" i="72" s="1"/>
  <c r="N127" i="72" s="1"/>
  <c r="P128" i="72"/>
  <c r="O128" i="72" s="1"/>
  <c r="N128" i="72" s="1"/>
  <c r="P129" i="72"/>
  <c r="O129" i="72" s="1"/>
  <c r="N129" i="72" s="1"/>
  <c r="P130" i="72"/>
  <c r="O130" i="72" s="1"/>
  <c r="N130" i="72" s="1"/>
  <c r="P131" i="72"/>
  <c r="O131" i="72" s="1"/>
  <c r="N131" i="72" s="1"/>
  <c r="P132" i="72"/>
  <c r="O132" i="72" s="1"/>
  <c r="N132" i="72" s="1"/>
  <c r="P133" i="72"/>
  <c r="O133" i="72" s="1"/>
  <c r="N133" i="72" s="1"/>
  <c r="P134" i="72"/>
  <c r="O134" i="72" s="1"/>
  <c r="N134" i="72" s="1"/>
  <c r="P135" i="72"/>
  <c r="O135" i="72" s="1"/>
  <c r="N135" i="72" s="1"/>
  <c r="P136" i="72"/>
  <c r="O136" i="72" s="1"/>
  <c r="N136" i="72" s="1"/>
  <c r="P137" i="72"/>
  <c r="O137" i="72" s="1"/>
  <c r="N137" i="72" s="1"/>
  <c r="P138" i="72"/>
  <c r="O138" i="72" s="1"/>
  <c r="N138" i="72" s="1"/>
  <c r="P139" i="72"/>
  <c r="O139" i="72" s="1"/>
  <c r="N139" i="72" s="1"/>
  <c r="P140" i="72"/>
  <c r="O140" i="72" s="1"/>
  <c r="N140" i="72" s="1"/>
  <c r="P141" i="72"/>
  <c r="O141" i="72" s="1"/>
  <c r="N141" i="72" s="1"/>
  <c r="P142" i="72"/>
  <c r="O142" i="72" s="1"/>
  <c r="N142" i="72" s="1"/>
  <c r="P143" i="72"/>
  <c r="O143" i="72" s="1"/>
  <c r="N143" i="72" s="1"/>
  <c r="P144" i="72"/>
  <c r="O144" i="72" s="1"/>
  <c r="N144" i="72" s="1"/>
  <c r="P145" i="72"/>
  <c r="O145" i="72" s="1"/>
  <c r="N145" i="72" s="1"/>
  <c r="P146" i="72"/>
  <c r="O146" i="72" s="1"/>
  <c r="N146" i="72" s="1"/>
  <c r="P147" i="72"/>
  <c r="O147" i="72" s="1"/>
  <c r="N147" i="72" s="1"/>
  <c r="P148" i="72"/>
  <c r="O148" i="72" s="1"/>
  <c r="N148" i="72" s="1"/>
  <c r="P149" i="72"/>
  <c r="O149" i="72" s="1"/>
  <c r="N149" i="72" s="1"/>
  <c r="P150" i="72"/>
  <c r="O150" i="72" s="1"/>
  <c r="N150" i="72" s="1"/>
  <c r="P151" i="72"/>
  <c r="O151" i="72" s="1"/>
  <c r="N151" i="72" s="1"/>
  <c r="P152" i="72"/>
  <c r="O152" i="72" s="1"/>
  <c r="N152" i="72" s="1"/>
  <c r="P153" i="72"/>
  <c r="O153" i="72" s="1"/>
  <c r="N153" i="72" s="1"/>
  <c r="P154" i="72"/>
  <c r="O154" i="72" s="1"/>
  <c r="N154" i="72" s="1"/>
  <c r="P155" i="72"/>
  <c r="O155" i="72" s="1"/>
  <c r="N155" i="72" s="1"/>
  <c r="P156" i="72"/>
  <c r="O156" i="72" s="1"/>
  <c r="N156" i="72" s="1"/>
  <c r="P157" i="72"/>
  <c r="O157" i="72" s="1"/>
  <c r="N157" i="72" s="1"/>
  <c r="P158" i="72"/>
  <c r="O158" i="72" s="1"/>
  <c r="N158" i="72" s="1"/>
  <c r="P159" i="72"/>
  <c r="O159" i="72" s="1"/>
  <c r="N159" i="72" s="1"/>
  <c r="P160" i="72"/>
  <c r="O160" i="72" s="1"/>
  <c r="N160" i="72" s="1"/>
  <c r="P161" i="72"/>
  <c r="O161" i="72" s="1"/>
  <c r="N161" i="72" s="1"/>
  <c r="P162" i="72"/>
  <c r="O162" i="72" s="1"/>
  <c r="N162" i="72" s="1"/>
  <c r="P163" i="72"/>
  <c r="O163" i="72" s="1"/>
  <c r="N163" i="72" s="1"/>
  <c r="P164" i="72"/>
  <c r="O164" i="72" s="1"/>
  <c r="N164" i="72" s="1"/>
  <c r="P165" i="72"/>
  <c r="O165" i="72" s="1"/>
  <c r="N165" i="72" s="1"/>
  <c r="P166" i="72"/>
  <c r="O166" i="72" s="1"/>
  <c r="N166" i="72" s="1"/>
  <c r="P167" i="72"/>
  <c r="O167" i="72" s="1"/>
  <c r="N167" i="72" s="1"/>
  <c r="P168" i="72"/>
  <c r="O168" i="72" s="1"/>
  <c r="N168" i="72" s="1"/>
  <c r="P169" i="72"/>
  <c r="O169" i="72" s="1"/>
  <c r="N169" i="72" s="1"/>
  <c r="P170" i="72"/>
  <c r="O170" i="72" s="1"/>
  <c r="N170" i="72" s="1"/>
  <c r="P171" i="72"/>
  <c r="O171" i="72" s="1"/>
  <c r="N171" i="72" s="1"/>
  <c r="P172" i="72"/>
  <c r="O172" i="72" s="1"/>
  <c r="N172" i="72" s="1"/>
  <c r="P173" i="72"/>
  <c r="O173" i="72" s="1"/>
  <c r="N173" i="72" s="1"/>
  <c r="P174" i="72"/>
  <c r="O174" i="72" s="1"/>
  <c r="N174" i="72" s="1"/>
  <c r="P175" i="72"/>
  <c r="O175" i="72" s="1"/>
  <c r="N175" i="72" s="1"/>
  <c r="P176" i="72"/>
  <c r="O176" i="72" s="1"/>
  <c r="N176" i="72" s="1"/>
  <c r="P177" i="72"/>
  <c r="O177" i="72" s="1"/>
  <c r="N177" i="72" s="1"/>
  <c r="P178" i="72"/>
  <c r="O178" i="72" s="1"/>
  <c r="N178" i="72" s="1"/>
  <c r="P179" i="72"/>
  <c r="O179" i="72" s="1"/>
  <c r="N179" i="72" s="1"/>
  <c r="P180" i="72"/>
  <c r="O180" i="72" s="1"/>
  <c r="N180" i="72" s="1"/>
  <c r="P181" i="72"/>
  <c r="O181" i="72" s="1"/>
  <c r="N181" i="72" s="1"/>
  <c r="P182" i="72"/>
  <c r="O182" i="72" s="1"/>
  <c r="N182" i="72" s="1"/>
  <c r="P183" i="72"/>
  <c r="O183" i="72" s="1"/>
  <c r="N183" i="72" s="1"/>
  <c r="P184" i="72"/>
  <c r="O184" i="72" s="1"/>
  <c r="N184" i="72" s="1"/>
  <c r="P185" i="72"/>
  <c r="O185" i="72" s="1"/>
  <c r="N185" i="72" s="1"/>
  <c r="P186" i="72"/>
  <c r="O186" i="72" s="1"/>
  <c r="N186" i="72" s="1"/>
  <c r="P187" i="72"/>
  <c r="O187" i="72" s="1"/>
  <c r="N187" i="72" s="1"/>
  <c r="P188" i="72"/>
  <c r="O188" i="72" s="1"/>
  <c r="N188" i="72" s="1"/>
  <c r="P189" i="72"/>
  <c r="O189" i="72" s="1"/>
  <c r="N189" i="72" s="1"/>
  <c r="P190" i="72"/>
  <c r="O190" i="72" s="1"/>
  <c r="N190" i="72" s="1"/>
  <c r="P191" i="72"/>
  <c r="O191" i="72" s="1"/>
  <c r="N191" i="72" s="1"/>
  <c r="P192" i="72"/>
  <c r="O192" i="72" s="1"/>
  <c r="N192" i="72" s="1"/>
  <c r="P193" i="72"/>
  <c r="O193" i="72" s="1"/>
  <c r="N193" i="72" s="1"/>
  <c r="P194" i="72"/>
  <c r="O194" i="72" s="1"/>
  <c r="N194" i="72" s="1"/>
  <c r="P195" i="72"/>
  <c r="O195" i="72" s="1"/>
  <c r="N195" i="72" s="1"/>
  <c r="P196" i="72"/>
  <c r="O196" i="72" s="1"/>
  <c r="N196" i="72" s="1"/>
  <c r="P197" i="72"/>
  <c r="O197" i="72" s="1"/>
  <c r="N197" i="72" s="1"/>
  <c r="P198" i="72"/>
  <c r="O198" i="72" s="1"/>
  <c r="N198" i="72" s="1"/>
  <c r="P199" i="72"/>
  <c r="O199" i="72" s="1"/>
  <c r="N199" i="72" s="1"/>
  <c r="P200" i="72"/>
  <c r="O200" i="72" s="1"/>
  <c r="N200" i="72" s="1"/>
  <c r="P201" i="72"/>
  <c r="O201" i="72" s="1"/>
  <c r="N201" i="72" s="1"/>
  <c r="P202" i="72"/>
  <c r="O202" i="72" s="1"/>
  <c r="N202" i="72" s="1"/>
  <c r="P203" i="72"/>
  <c r="O203" i="72" s="1"/>
  <c r="N203" i="72" s="1"/>
  <c r="P204" i="72"/>
  <c r="O204" i="72" s="1"/>
  <c r="N204" i="72" s="1"/>
  <c r="P205" i="72"/>
  <c r="O205" i="72" s="1"/>
  <c r="N205" i="72" s="1"/>
  <c r="P206" i="72"/>
  <c r="O206" i="72" s="1"/>
  <c r="N206" i="72" s="1"/>
  <c r="P207" i="72"/>
  <c r="O207" i="72" s="1"/>
  <c r="N207" i="72" s="1"/>
  <c r="P208" i="72"/>
  <c r="O208" i="72" s="1"/>
  <c r="N208" i="72" s="1"/>
  <c r="P209" i="72"/>
  <c r="O209" i="72" s="1"/>
  <c r="N209" i="72" s="1"/>
  <c r="P210" i="72"/>
  <c r="O210" i="72" s="1"/>
  <c r="N210" i="72" s="1"/>
  <c r="P211" i="72"/>
  <c r="O211" i="72" s="1"/>
  <c r="N211" i="72" s="1"/>
  <c r="P212" i="72"/>
  <c r="O212" i="72" s="1"/>
  <c r="N212" i="72" s="1"/>
  <c r="P213" i="72"/>
  <c r="O213" i="72" s="1"/>
  <c r="N213" i="72" s="1"/>
  <c r="P214" i="72"/>
  <c r="O214" i="72" s="1"/>
  <c r="N214" i="72" s="1"/>
  <c r="P215" i="72"/>
  <c r="O215" i="72" s="1"/>
  <c r="N215" i="72" s="1"/>
  <c r="P216" i="72"/>
  <c r="O216" i="72" s="1"/>
  <c r="N216" i="72" s="1"/>
  <c r="P217" i="72"/>
  <c r="O217" i="72" s="1"/>
  <c r="N217" i="72" s="1"/>
  <c r="P218" i="72"/>
  <c r="O218" i="72" s="1"/>
  <c r="N218" i="72" s="1"/>
  <c r="P219" i="72"/>
  <c r="O219" i="72" s="1"/>
  <c r="N219" i="72" s="1"/>
  <c r="P220" i="72"/>
  <c r="O220" i="72" s="1"/>
  <c r="N220" i="72" s="1"/>
  <c r="P222" i="72"/>
  <c r="O222" i="72" s="1"/>
  <c r="N3" i="72"/>
  <c r="P223" i="72" l="1"/>
  <c r="X7" i="70" s="1"/>
  <c r="Y7" i="70" s="1"/>
  <c r="O223" i="72"/>
  <c r="F7" i="70" s="1"/>
  <c r="G7" i="70" s="1"/>
  <c r="N223" i="72"/>
  <c r="O7" i="70" s="1"/>
  <c r="P7" i="70" s="1"/>
  <c r="M386" i="3"/>
  <c r="K67" i="71"/>
  <c r="N66" i="71"/>
  <c r="M66" i="71" s="1"/>
  <c r="N65" i="71"/>
  <c r="M65" i="71" s="1"/>
  <c r="N64" i="71"/>
  <c r="M64" i="71" s="1"/>
  <c r="N63" i="71"/>
  <c r="M63" i="71" s="1"/>
  <c r="N62" i="71"/>
  <c r="M62" i="71" s="1"/>
  <c r="N61" i="71"/>
  <c r="M61" i="71" s="1"/>
  <c r="N60" i="71"/>
  <c r="M60" i="71" s="1"/>
  <c r="N59" i="71"/>
  <c r="M59" i="71" s="1"/>
  <c r="N58" i="71"/>
  <c r="M58" i="71" s="1"/>
  <c r="N57" i="71"/>
  <c r="M57" i="71" s="1"/>
  <c r="N56" i="71"/>
  <c r="M56" i="71" s="1"/>
  <c r="N55" i="71"/>
  <c r="M55" i="71" s="1"/>
  <c r="N54" i="71"/>
  <c r="M54" i="71" s="1"/>
  <c r="N53" i="71"/>
  <c r="M53" i="71" s="1"/>
  <c r="N52" i="71"/>
  <c r="M52" i="71" s="1"/>
  <c r="N51" i="71"/>
  <c r="M51" i="71" s="1"/>
  <c r="N50" i="71"/>
  <c r="M50" i="71" s="1"/>
  <c r="N49" i="71"/>
  <c r="M49" i="71" s="1"/>
  <c r="N48" i="71"/>
  <c r="M48" i="71" s="1"/>
  <c r="N47" i="71"/>
  <c r="M47" i="71" s="1"/>
  <c r="N46" i="71"/>
  <c r="M46" i="71" s="1"/>
  <c r="N45" i="71"/>
  <c r="M45" i="71" s="1"/>
  <c r="N44" i="71"/>
  <c r="M44" i="71" s="1"/>
  <c r="N43" i="71"/>
  <c r="M43" i="71" s="1"/>
  <c r="N42" i="71"/>
  <c r="M42" i="71" s="1"/>
  <c r="N41" i="71"/>
  <c r="M41" i="71" s="1"/>
  <c r="N40" i="71"/>
  <c r="M40" i="71" s="1"/>
  <c r="N39" i="71"/>
  <c r="M39" i="71" s="1"/>
  <c r="N38" i="71"/>
  <c r="M38" i="71" s="1"/>
  <c r="N37" i="71"/>
  <c r="M37" i="71" s="1"/>
  <c r="N36" i="71"/>
  <c r="M36" i="71" s="1"/>
  <c r="N35" i="71"/>
  <c r="M35" i="71" s="1"/>
  <c r="N34" i="71"/>
  <c r="M34" i="71" s="1"/>
  <c r="N33" i="71"/>
  <c r="M33" i="71" s="1"/>
  <c r="N32" i="71"/>
  <c r="M32" i="71" s="1"/>
  <c r="N31" i="71"/>
  <c r="M31" i="71" s="1"/>
  <c r="N30" i="71"/>
  <c r="M30" i="71" s="1"/>
  <c r="N29" i="71"/>
  <c r="M29" i="71" s="1"/>
  <c r="N28" i="71"/>
  <c r="M28" i="71" s="1"/>
  <c r="N27" i="71"/>
  <c r="M27" i="71" s="1"/>
  <c r="N26" i="71"/>
  <c r="M26" i="71" s="1"/>
  <c r="N25" i="71"/>
  <c r="M25" i="71" s="1"/>
  <c r="N24" i="71"/>
  <c r="M24" i="71" s="1"/>
  <c r="N23" i="71"/>
  <c r="M23" i="71" s="1"/>
  <c r="N22" i="71"/>
  <c r="M22" i="71" s="1"/>
  <c r="N21" i="71"/>
  <c r="M21" i="71" s="1"/>
  <c r="N20" i="71"/>
  <c r="M20" i="71" s="1"/>
  <c r="N19" i="71"/>
  <c r="M19" i="71" s="1"/>
  <c r="N18" i="71"/>
  <c r="M18" i="71" s="1"/>
  <c r="N17" i="71"/>
  <c r="M17" i="71" s="1"/>
  <c r="N16" i="71"/>
  <c r="M16" i="71" s="1"/>
  <c r="N15" i="71"/>
  <c r="M15" i="71" s="1"/>
  <c r="N14" i="71"/>
  <c r="M14" i="71" s="1"/>
  <c r="N13" i="71"/>
  <c r="M13" i="71" s="1"/>
  <c r="N12" i="71"/>
  <c r="M12" i="71" s="1"/>
  <c r="N11" i="71"/>
  <c r="M11" i="71" s="1"/>
  <c r="N10" i="71"/>
  <c r="M10" i="71" s="1"/>
  <c r="N9" i="71"/>
  <c r="M9" i="71" s="1"/>
  <c r="N8" i="71"/>
  <c r="M8" i="71" s="1"/>
  <c r="N7" i="71"/>
  <c r="M7" i="71" s="1"/>
  <c r="N6" i="71"/>
  <c r="M6" i="71" s="1"/>
  <c r="N5" i="71"/>
  <c r="M5" i="71" s="1"/>
  <c r="N4" i="71"/>
  <c r="M4" i="71" s="1"/>
  <c r="N3" i="71"/>
  <c r="M3" i="71" s="1"/>
  <c r="N2" i="71"/>
  <c r="M2" i="71" s="1"/>
  <c r="Y6" i="70"/>
  <c r="X5" i="70"/>
  <c r="Y5" i="70" s="1"/>
  <c r="O67" i="71" l="1"/>
  <c r="C6" i="70" s="1"/>
  <c r="D6" i="70" s="1"/>
  <c r="M67" i="71"/>
  <c r="O6" i="70" s="1"/>
  <c r="P6" i="70" s="1"/>
  <c r="N67" i="71"/>
  <c r="F6" i="70" s="1"/>
  <c r="G6" i="70" s="1"/>
  <c r="Q4" i="6" l="1"/>
  <c r="Q5" i="6"/>
  <c r="Q6" i="6"/>
  <c r="Q7" i="6"/>
  <c r="Q8" i="6"/>
  <c r="Q9" i="6"/>
  <c r="Q10" i="6"/>
  <c r="N12" i="43" l="1"/>
  <c r="M12" i="43"/>
  <c r="H4" i="35"/>
  <c r="H14" i="35" s="1"/>
  <c r="D4" i="34"/>
  <c r="G3" i="34"/>
  <c r="F3" i="34"/>
  <c r="E3" i="34"/>
  <c r="C3" i="34"/>
  <c r="B3" i="34"/>
  <c r="L56" i="31"/>
  <c r="K56" i="31"/>
  <c r="M55" i="31"/>
  <c r="M54" i="31"/>
  <c r="M53" i="31"/>
  <c r="M52" i="31"/>
  <c r="M51" i="31"/>
  <c r="M50" i="31"/>
  <c r="M49" i="31"/>
  <c r="M48" i="31"/>
  <c r="M47" i="31"/>
  <c r="M46" i="31"/>
  <c r="M45" i="31"/>
  <c r="M44" i="31"/>
  <c r="M43" i="31"/>
  <c r="M42" i="31"/>
  <c r="M41" i="31"/>
  <c r="M40" i="31"/>
  <c r="M39" i="31"/>
  <c r="M38" i="31"/>
  <c r="M37" i="31"/>
  <c r="M36" i="31"/>
  <c r="M35" i="31"/>
  <c r="M34" i="31"/>
  <c r="M33" i="31"/>
  <c r="M32" i="31"/>
  <c r="M31" i="31"/>
  <c r="M30" i="31"/>
  <c r="M29" i="31"/>
  <c r="M28" i="31"/>
  <c r="M27" i="31"/>
  <c r="M26" i="31"/>
  <c r="M25" i="31"/>
  <c r="M24" i="31"/>
  <c r="M23" i="31"/>
  <c r="M22" i="31"/>
  <c r="M21" i="31"/>
  <c r="M20" i="31"/>
  <c r="M19" i="31"/>
  <c r="M18" i="31"/>
  <c r="M17" i="31"/>
  <c r="M16" i="31"/>
  <c r="M15" i="31"/>
  <c r="M14" i="31"/>
  <c r="M13" i="31"/>
  <c r="M12" i="31"/>
  <c r="M11" i="31"/>
  <c r="M10" i="31"/>
  <c r="M9" i="31"/>
  <c r="M8" i="31"/>
  <c r="M7" i="31"/>
  <c r="M6" i="31"/>
  <c r="M5" i="31"/>
  <c r="M4" i="31"/>
  <c r="M3" i="31"/>
  <c r="H16" i="30"/>
  <c r="I8" i="27"/>
  <c r="I6" i="9"/>
  <c r="M385" i="3"/>
  <c r="M384" i="3"/>
  <c r="M383" i="3"/>
  <c r="M382" i="3"/>
  <c r="M381" i="3"/>
  <c r="M380" i="3"/>
  <c r="K379" i="3"/>
  <c r="M379" i="3" s="1"/>
  <c r="K378" i="3"/>
  <c r="O378" i="3" s="1"/>
  <c r="N378" i="3" s="1"/>
  <c r="K377" i="3"/>
  <c r="O377" i="3" s="1"/>
  <c r="N377" i="3" s="1"/>
  <c r="K376" i="3"/>
  <c r="O376" i="3" s="1"/>
  <c r="N376" i="3" s="1"/>
  <c r="K375" i="3"/>
  <c r="O375" i="3" s="1"/>
  <c r="N375" i="3" s="1"/>
  <c r="K374" i="3"/>
  <c r="O374" i="3" s="1"/>
  <c r="N374" i="3" s="1"/>
  <c r="M373" i="3"/>
  <c r="M372" i="3"/>
  <c r="M371" i="3"/>
  <c r="K370" i="3"/>
  <c r="M370" i="3" s="1"/>
  <c r="K369" i="3"/>
  <c r="O369" i="3" s="1"/>
  <c r="N369" i="3" s="1"/>
  <c r="K368" i="3"/>
  <c r="O368" i="3" s="1"/>
  <c r="N368" i="3" s="1"/>
  <c r="K367" i="3"/>
  <c r="M367" i="3" s="1"/>
  <c r="K366" i="3"/>
  <c r="O366" i="3" s="1"/>
  <c r="N366" i="3" s="1"/>
  <c r="K365" i="3"/>
  <c r="O365" i="3" s="1"/>
  <c r="N365" i="3" s="1"/>
  <c r="K364" i="3"/>
  <c r="O364" i="3" s="1"/>
  <c r="N364" i="3" s="1"/>
  <c r="M363" i="3"/>
  <c r="M362" i="3"/>
  <c r="K361" i="3"/>
  <c r="M360" i="3"/>
  <c r="M359" i="3"/>
  <c r="K358" i="3"/>
  <c r="M357" i="3"/>
  <c r="M356" i="3"/>
  <c r="M355" i="3"/>
  <c r="M354" i="3"/>
  <c r="M353" i="3"/>
  <c r="K352" i="3"/>
  <c r="O352" i="3" s="1"/>
  <c r="N352" i="3" s="1"/>
  <c r="M351" i="3"/>
  <c r="K350" i="3"/>
  <c r="O350" i="3" s="1"/>
  <c r="N350" i="3" s="1"/>
  <c r="M349" i="3"/>
  <c r="M348" i="3"/>
  <c r="K348" i="3"/>
  <c r="O348" i="3" s="1"/>
  <c r="N348" i="3" s="1"/>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K314" i="3"/>
  <c r="O314" i="3" s="1"/>
  <c r="N314" i="3" s="1"/>
  <c r="M313" i="3"/>
  <c r="K312" i="3"/>
  <c r="O312" i="3" s="1"/>
  <c r="N312" i="3" s="1"/>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1" i="3"/>
  <c r="M218" i="3"/>
  <c r="M217" i="3"/>
  <c r="M216" i="3"/>
  <c r="M215" i="3"/>
  <c r="M214" i="3"/>
  <c r="M213" i="3"/>
  <c r="M212" i="3"/>
  <c r="M211" i="3"/>
  <c r="K210" i="3"/>
  <c r="M210" i="3" s="1"/>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1" i="6"/>
  <c r="C4" i="70" s="1"/>
  <c r="D4" i="70" s="1"/>
  <c r="P5" i="6"/>
  <c r="O5" i="6" s="1"/>
  <c r="P6" i="6"/>
  <c r="O6" i="6"/>
  <c r="P8" i="6"/>
  <c r="O8" i="6" s="1"/>
  <c r="P9" i="6"/>
  <c r="O9" i="6"/>
  <c r="Q11" i="6"/>
  <c r="X4" i="70" s="1"/>
  <c r="Y4" i="70" s="1"/>
  <c r="P4" i="6"/>
  <c r="O4" i="6" s="1"/>
  <c r="P10" i="6"/>
  <c r="O10" i="6" s="1"/>
  <c r="P7" i="6"/>
  <c r="O7" i="6" s="1"/>
  <c r="M3" i="3"/>
  <c r="N3" i="3"/>
  <c r="O11" i="6" l="1"/>
  <c r="O4" i="70" s="1"/>
  <c r="P4" i="70" s="1"/>
  <c r="M376" i="3"/>
  <c r="M312" i="3"/>
  <c r="M350" i="3"/>
  <c r="M364" i="3"/>
  <c r="P11" i="6"/>
  <c r="F4" i="70" s="1"/>
  <c r="G4" i="70" s="1"/>
  <c r="M352" i="3"/>
  <c r="O361" i="3"/>
  <c r="N361" i="3" s="1"/>
  <c r="M375" i="3"/>
  <c r="M378" i="3"/>
  <c r="O210" i="3"/>
  <c r="K387" i="3"/>
  <c r="M361" i="3"/>
  <c r="M365" i="3"/>
  <c r="M368" i="3"/>
  <c r="O379" i="3"/>
  <c r="N379" i="3" s="1"/>
  <c r="O358" i="3"/>
  <c r="N358" i="3" s="1"/>
  <c r="M314" i="3"/>
  <c r="M358" i="3"/>
  <c r="M366" i="3"/>
  <c r="M369" i="3"/>
  <c r="M387" i="3"/>
  <c r="O5" i="70" s="1"/>
  <c r="P5" i="70" s="1"/>
  <c r="O367" i="3"/>
  <c r="N367" i="3" s="1"/>
  <c r="O370" i="3"/>
  <c r="N370" i="3" s="1"/>
  <c r="M374" i="3"/>
  <c r="M377" i="3"/>
  <c r="D5" i="70" l="1"/>
  <c r="C5" i="70"/>
  <c r="N210" i="3"/>
  <c r="N387" i="3" s="1"/>
  <c r="O387" i="3"/>
  <c r="G5" i="70" l="1"/>
  <c r="F5" i="70"/>
</calcChain>
</file>

<file path=xl/sharedStrings.xml><?xml version="1.0" encoding="utf-8"?>
<sst xmlns="http://schemas.openxmlformats.org/spreadsheetml/2006/main" count="7687" uniqueCount="1883">
  <si>
    <t xml:space="preserve">ASSET AND LIABLILITY REPORTING TEMPLATES </t>
  </si>
  <si>
    <t>General</t>
  </si>
  <si>
    <t>Mode of acquisition - mode of acquisition may be through purchase, transfer, donation etc</t>
  </si>
  <si>
    <t>Land register</t>
  </si>
  <si>
    <t>Polygon under the land register refers to the GPS readings of the four corners of a plot of land</t>
  </si>
  <si>
    <t>Encumbrances under the land register refers to any caveats placed on a plot of land</t>
  </si>
  <si>
    <t>Planned / unplanned in the land register refers to whether the plot of land is located in an area that has formal plans or otherwise</t>
  </si>
  <si>
    <t>Intangible assets</t>
  </si>
  <si>
    <t>Intangible assets - Documents of ownership include copyrights, patents for intellectual property; also special access rights for software</t>
  </si>
  <si>
    <t>1.All Accounting officers are supposed to ensure that their entity has documents of ownership for its property. Where an entity is a body corporate, the documents of ownership should be in the name of the entity and under the custody of the Accounting Officer</t>
  </si>
  <si>
    <t>2.All MDAs are required to submit quarterly and annual reports to The National Treasury &amp; Planning using the prescribed format.</t>
  </si>
  <si>
    <t>3.Public Sector entities will be required to submit their Quaterly  reports for asset management structures, ownership documents and asset registers should be submitted quarterly by 15th of the subsequent month after every quarter. and  annual disposal plans by 15th of October of the financial year.</t>
  </si>
  <si>
    <t>Guidance</t>
  </si>
  <si>
    <t>Table of Contents</t>
  </si>
  <si>
    <t>Land Register</t>
  </si>
  <si>
    <t>Building Register</t>
  </si>
  <si>
    <t>Motor Vehicle Register</t>
  </si>
  <si>
    <t>Office equipment register</t>
  </si>
  <si>
    <t>ICT Computer Register</t>
  </si>
  <si>
    <t>Furniture&amp;Fittings</t>
  </si>
  <si>
    <t>Plant &amp;Machinery Register</t>
  </si>
  <si>
    <t>Portable &amp;attractive Items</t>
  </si>
  <si>
    <t>Intangible Asset Register</t>
  </si>
  <si>
    <t>Stocks Consumables Register</t>
  </si>
  <si>
    <t>Railway register</t>
  </si>
  <si>
    <t>Roads Infastructure register</t>
  </si>
  <si>
    <t>Other Infastructure register</t>
  </si>
  <si>
    <t>Biological register</t>
  </si>
  <si>
    <t>Subsoil register</t>
  </si>
  <si>
    <t>Major maintenance register</t>
  </si>
  <si>
    <t>Work in progress register</t>
  </si>
  <si>
    <t>Investments register</t>
  </si>
  <si>
    <t>Cash register</t>
  </si>
  <si>
    <t>Bank register</t>
  </si>
  <si>
    <t>Loans receivables register</t>
  </si>
  <si>
    <t>Accounts receivables register</t>
  </si>
  <si>
    <t>Other receivables register</t>
  </si>
  <si>
    <t>Imprest register</t>
  </si>
  <si>
    <t>Loans payable register</t>
  </si>
  <si>
    <t>contigent Liabities register</t>
  </si>
  <si>
    <t>Accruals register</t>
  </si>
  <si>
    <t>Accounts payable register</t>
  </si>
  <si>
    <t>Pensions payable register</t>
  </si>
  <si>
    <t>Other liabilities register</t>
  </si>
  <si>
    <t>Asset movement form</t>
  </si>
  <si>
    <t>Revaluation Schedule</t>
  </si>
  <si>
    <t>Losses Register</t>
  </si>
  <si>
    <t>Guarantees &amp;indeminities</t>
  </si>
  <si>
    <t>Lease register</t>
  </si>
  <si>
    <t>Litigation Register</t>
  </si>
  <si>
    <t>Equipment sign out register</t>
  </si>
  <si>
    <t>Asset transfer form</t>
  </si>
  <si>
    <t>Asset Handover form</t>
  </si>
  <si>
    <t>Asset reconciliation report</t>
  </si>
  <si>
    <r>
      <rPr>
        <sz val="7"/>
        <color rgb="FF2E74B5"/>
        <rFont val="Times New Roman"/>
        <family val="1"/>
      </rPr>
      <t>               L</t>
    </r>
    <r>
      <rPr>
        <sz val="13"/>
        <color rgb="FF2E74B5"/>
        <rFont val="Calibri Light"/>
        <family val="2"/>
      </rPr>
      <t>and Register</t>
    </r>
  </si>
  <si>
    <t>Description of land</t>
  </si>
  <si>
    <t>Mode of Acquisition e.g. purchase, transfer, donation etc.</t>
  </si>
  <si>
    <t>Category (Land or investment property)</t>
  </si>
  <si>
    <t>County</t>
  </si>
  <si>
    <t>Nearest town/ Location</t>
  </si>
  <si>
    <t>GPS</t>
  </si>
  <si>
    <t>Polygon*</t>
  </si>
  <si>
    <t>L.R /certifcate No.  Or other unique identifier</t>
  </si>
  <si>
    <t>Document of ownership held (Title deed, certificate, allotment letter, etc.)</t>
  </si>
  <si>
    <t>Proprietorship/ ownership details as per document of title</t>
  </si>
  <si>
    <t xml:space="preserve"> Size (ha)</t>
  </si>
  <si>
    <t>Ownership status (Freehold /leasehold)</t>
  </si>
  <si>
    <t>Acquisition date</t>
  </si>
  <si>
    <t>Registration date</t>
  </si>
  <si>
    <t>Disputed/ undisputed</t>
  </si>
  <si>
    <t>Encumberances</t>
  </si>
  <si>
    <t>Planned/ Unplanned</t>
  </si>
  <si>
    <t>Purpose/ Use of land</t>
  </si>
  <si>
    <t>Surveyed/ Not surveyed</t>
  </si>
  <si>
    <t>Acquisition Amount</t>
  </si>
  <si>
    <t>Fair value/ Ministry of Lands zonal maps or land index</t>
  </si>
  <si>
    <t>Disposal date/ Change of use date</t>
  </si>
  <si>
    <t>Disposal value</t>
  </si>
  <si>
    <t>Annual rental income (for investment property)</t>
  </si>
  <si>
    <t>Remarks</t>
  </si>
  <si>
    <t>A</t>
  </si>
  <si>
    <t>B</t>
  </si>
  <si>
    <t>C</t>
  </si>
  <si>
    <t>D</t>
  </si>
  <si>
    <t>None</t>
  </si>
  <si>
    <r>
      <rPr>
        <sz val="7"/>
        <color rgb="FF2E74B5"/>
        <rFont val="Times New Roman"/>
        <family val="1"/>
      </rPr>
      <t xml:space="preserve">      </t>
    </r>
    <r>
      <rPr>
        <sz val="13"/>
        <color rgb="FF2E74B5"/>
        <rFont val="Calibri Light"/>
        <family val="2"/>
      </rPr>
      <t>Buildings Register</t>
    </r>
  </si>
  <si>
    <t>Description/ Name of building</t>
  </si>
  <si>
    <t>Building ownership</t>
  </si>
  <si>
    <t>Category (Building or investment property)</t>
  </si>
  <si>
    <t>Building No.</t>
  </si>
  <si>
    <t>Institution No.</t>
  </si>
  <si>
    <t>Nearest town/ Shopping centre</t>
  </si>
  <si>
    <t>Street</t>
  </si>
  <si>
    <t xml:space="preserve"> L.R N      o. </t>
  </si>
  <si>
    <t>Size of land (ha)</t>
  </si>
  <si>
    <t xml:space="preserve">Ownership status (Freehold/ leasehold) </t>
  </si>
  <si>
    <t>Source of funds</t>
  </si>
  <si>
    <t>Mode of acquisition</t>
  </si>
  <si>
    <t>Date of purchase/ Building commisssioning (for constructed buildings)</t>
  </si>
  <si>
    <t>Type of building (Permanent/ temporary)</t>
  </si>
  <si>
    <t>Designated use</t>
  </si>
  <si>
    <t>Estimated useful life</t>
  </si>
  <si>
    <t>No. of floors</t>
  </si>
  <si>
    <t>Plinth Area</t>
  </si>
  <si>
    <t>Cost of construction/ Valuation</t>
  </si>
  <si>
    <t>Annual depreciation</t>
  </si>
  <si>
    <t>Accumulated depreciation to date</t>
  </si>
  <si>
    <t>Net Book value</t>
  </si>
  <si>
    <t>Motor vehicle  Register</t>
  </si>
  <si>
    <t xml:space="preserve">No. </t>
  </si>
  <si>
    <t>Vehicle Registration No.</t>
  </si>
  <si>
    <t>Financed by/ source of funds</t>
  </si>
  <si>
    <t>Engine No.</t>
  </si>
  <si>
    <t>Chassis No.</t>
  </si>
  <si>
    <t xml:space="preserve">Tag number/ </t>
  </si>
  <si>
    <t xml:space="preserve">Make &amp; Model </t>
  </si>
  <si>
    <t>Year of purchase</t>
  </si>
  <si>
    <t>PV number</t>
  </si>
  <si>
    <t xml:space="preserve">Original Location </t>
  </si>
  <si>
    <t xml:space="preserve">Current Location </t>
  </si>
  <si>
    <t xml:space="preserve">Replacement Date (if applicable) </t>
  </si>
  <si>
    <t xml:space="preserve">Amount </t>
  </si>
  <si>
    <t>Depreciation rate</t>
  </si>
  <si>
    <t>Accumulated depreciation</t>
  </si>
  <si>
    <t>Net Book Value</t>
  </si>
  <si>
    <t>Date of disposal</t>
  </si>
  <si>
    <t>Responsible officer</t>
  </si>
  <si>
    <t>Asset condition</t>
  </si>
  <si>
    <t>Does the MV have a log book(Y/N)</t>
  </si>
  <si>
    <t>Notes</t>
  </si>
  <si>
    <t>KCT 857Y</t>
  </si>
  <si>
    <t>GOK</t>
  </si>
  <si>
    <t>CNF097931</t>
  </si>
  <si>
    <t>WV1ZZZ2HZJA041835</t>
  </si>
  <si>
    <t>NGOB/04/0002</t>
  </si>
  <si>
    <t>Volkswagen Amarok DC 4x4 MT 103 Comfortline</t>
  </si>
  <si>
    <t>18/20/21</t>
  </si>
  <si>
    <t>Nairobi</t>
  </si>
  <si>
    <t>Senior Officer Administration</t>
  </si>
  <si>
    <t>Good</t>
  </si>
  <si>
    <t>Y</t>
  </si>
  <si>
    <t>KCT 859Y</t>
  </si>
  <si>
    <t>CNF1121315</t>
  </si>
  <si>
    <t>WV1ZZZ2HZKA041160</t>
  </si>
  <si>
    <t>NGOB/04/0003</t>
  </si>
  <si>
    <t>KCT 856Y</t>
  </si>
  <si>
    <t>CNF112493</t>
  </si>
  <si>
    <t>WV1ZZZ2HZKAO40798</t>
  </si>
  <si>
    <t>NGOB/04/0004</t>
  </si>
  <si>
    <t>KCT 858Y</t>
  </si>
  <si>
    <t>CNF111885</t>
  </si>
  <si>
    <t>WV1ZZZ2HZKA039232</t>
  </si>
  <si>
    <t>NGOB/04/0001</t>
  </si>
  <si>
    <t>KCT 885Y</t>
  </si>
  <si>
    <t>1KDB051337</t>
  </si>
  <si>
    <t>JTEBH3FJ70K229360</t>
  </si>
  <si>
    <t>NGOB/04/0005</t>
  </si>
  <si>
    <t>3.0 L/Cruiser Prado KDJI50R-GKAEY</t>
  </si>
  <si>
    <t>19/20/21</t>
  </si>
  <si>
    <t>KCT 903Y</t>
  </si>
  <si>
    <t>1KD-B043708</t>
  </si>
  <si>
    <t>JTEBH3FJ20K227788</t>
  </si>
  <si>
    <t>NGOB/04/0006</t>
  </si>
  <si>
    <t>20/20/21</t>
  </si>
  <si>
    <t>KCT 853Y</t>
  </si>
  <si>
    <t>WVIZZZ2HZJA041835</t>
  </si>
  <si>
    <t>NGOB/04/0007</t>
  </si>
  <si>
    <t>Toyota Rush F800RE-GQGF</t>
  </si>
  <si>
    <t>21/20/21</t>
  </si>
  <si>
    <t>KCT 844Y</t>
  </si>
  <si>
    <t>2KD-B026547</t>
  </si>
  <si>
    <t>JTFSS22P900188937</t>
  </si>
  <si>
    <t>NGOB/04/0008</t>
  </si>
  <si>
    <t xml:space="preserve">Hiace Mini bus KDH222R-LEMDY </t>
  </si>
  <si>
    <t>22/20/21</t>
  </si>
  <si>
    <t xml:space="preserve">Asset Description </t>
  </si>
  <si>
    <t xml:space="preserve">Serial number </t>
  </si>
  <si>
    <t>Tag number</t>
  </si>
  <si>
    <t>Date of Delivery / installation</t>
  </si>
  <si>
    <t xml:space="preserve">Purchase amount </t>
  </si>
  <si>
    <t>TYPE WRITER</t>
  </si>
  <si>
    <t>N/A</t>
  </si>
  <si>
    <t>NGOB/03/0092</t>
  </si>
  <si>
    <t>IBM Wheel writer 50 Series</t>
  </si>
  <si>
    <t>Margret Mwai</t>
  </si>
  <si>
    <t>In Use</t>
  </si>
  <si>
    <t>FRIDGE</t>
  </si>
  <si>
    <t>NGOB/03/0125</t>
  </si>
  <si>
    <t>Internet cabinet</t>
  </si>
  <si>
    <t>Kisumu</t>
  </si>
  <si>
    <t>Admistration Officer</t>
  </si>
  <si>
    <t>PAPER SHREDDER</t>
  </si>
  <si>
    <t>FELLOWS 99CI</t>
  </si>
  <si>
    <t>Joyce Naisiala</t>
  </si>
  <si>
    <t>In use</t>
  </si>
  <si>
    <t>ATLAS CC1840</t>
  </si>
  <si>
    <t>Dorris Muthini</t>
  </si>
  <si>
    <t>Beryl Odete</t>
  </si>
  <si>
    <t>Margaret Nyawira</t>
  </si>
  <si>
    <t>David Njane</t>
  </si>
  <si>
    <t>Microwave</t>
  </si>
  <si>
    <t>NGOB/03/0072</t>
  </si>
  <si>
    <t>Mombasa</t>
  </si>
  <si>
    <t>Water dispenser</t>
  </si>
  <si>
    <t>NGOB/03/0062</t>
  </si>
  <si>
    <t>Water dispensor</t>
  </si>
  <si>
    <t>Garisa</t>
  </si>
  <si>
    <t>NGOB/03/0108</t>
  </si>
  <si>
    <t>Eldoret</t>
  </si>
  <si>
    <t>Dispencer</t>
  </si>
  <si>
    <t>NGOB/03/0101</t>
  </si>
  <si>
    <t>Bulk fillin system</t>
  </si>
  <si>
    <t>NGOB/01/096</t>
  </si>
  <si>
    <t>Bulky filling system</t>
  </si>
  <si>
    <t>Charles Mugo</t>
  </si>
  <si>
    <t>NGOB/01/0086-0090</t>
  </si>
  <si>
    <t>Office Safe</t>
  </si>
  <si>
    <t>NGOB/03/0093</t>
  </si>
  <si>
    <t>26/3/2021</t>
  </si>
  <si>
    <t>Muktar Mohammed</t>
  </si>
  <si>
    <t>Filling cabinets</t>
  </si>
  <si>
    <t>NGOB/01/0289</t>
  </si>
  <si>
    <t>Mettalic 4 drawer cabinet</t>
  </si>
  <si>
    <t>Elizabeth Kamau</t>
  </si>
  <si>
    <t>NGOB/01/0336</t>
  </si>
  <si>
    <t>Arasa Mokuah</t>
  </si>
  <si>
    <t>NGOB/01/0331</t>
  </si>
  <si>
    <t>Mettalic double door</t>
  </si>
  <si>
    <t>NGOB/01/0133</t>
  </si>
  <si>
    <t>Beatrice Topisa</t>
  </si>
  <si>
    <t>NGOB/01/0313</t>
  </si>
  <si>
    <t>Berly Odete</t>
  </si>
  <si>
    <t>NGOB/01/0314</t>
  </si>
  <si>
    <t>NGOB/01/0315</t>
  </si>
  <si>
    <t>NGOB/01/0434</t>
  </si>
  <si>
    <t>Isaiah Sang</t>
  </si>
  <si>
    <t>NGOB/01/0389</t>
  </si>
  <si>
    <t>Judy Njiru</t>
  </si>
  <si>
    <t>NGOB/01/0379</t>
  </si>
  <si>
    <t>Ephy Nafuna</t>
  </si>
  <si>
    <t>NGOB/01/0378</t>
  </si>
  <si>
    <t>NGOB/01/0150</t>
  </si>
  <si>
    <t>NGOB/01/0505</t>
  </si>
  <si>
    <t>Mettalic 4 Double door</t>
  </si>
  <si>
    <t>NGOB/01/0380</t>
  </si>
  <si>
    <t>NGOB/01/0386</t>
  </si>
  <si>
    <t>NGOB/01/0094</t>
  </si>
  <si>
    <t>NGOB/01/0093</t>
  </si>
  <si>
    <t>NGOB/01/0485</t>
  </si>
  <si>
    <t>Mettalic drawer ( Small)</t>
  </si>
  <si>
    <t>Executive Director</t>
  </si>
  <si>
    <t>Joseph Kaluu</t>
  </si>
  <si>
    <t>NGOB/03/0001</t>
  </si>
  <si>
    <t>NGOB/03/0002</t>
  </si>
  <si>
    <t>NGOB/01/481</t>
  </si>
  <si>
    <t>NGOB/03/0094</t>
  </si>
  <si>
    <t>NGOB/03/0032</t>
  </si>
  <si>
    <t>NGOB/03/0066</t>
  </si>
  <si>
    <t>NGOB/03/0016</t>
  </si>
  <si>
    <t>Office equipments</t>
  </si>
  <si>
    <t>NGOB/01/0230</t>
  </si>
  <si>
    <t>Metal cabinet</t>
  </si>
  <si>
    <t>Carolyne Kimaiyo</t>
  </si>
  <si>
    <t>NGOB/01/0231</t>
  </si>
  <si>
    <t>NGOB/01/0232</t>
  </si>
  <si>
    <t>OFFICE CARPET</t>
  </si>
  <si>
    <t>Office Carpet</t>
  </si>
  <si>
    <t>NRB</t>
  </si>
  <si>
    <t>NGOB/01/0157</t>
  </si>
  <si>
    <t>Cabinets</t>
  </si>
  <si>
    <t>NGOB/01/0158</t>
  </si>
  <si>
    <t>NGOB/01/331</t>
  </si>
  <si>
    <t>Metallic cabinet -2 door</t>
  </si>
  <si>
    <t>Doris Muthini</t>
  </si>
  <si>
    <t>NGOB/1/0289</t>
  </si>
  <si>
    <t>Metallic cabinet - 4 door</t>
  </si>
  <si>
    <t>Assistant Administartion Manager</t>
  </si>
  <si>
    <t>NGOB/01/033</t>
  </si>
  <si>
    <t xml:space="preserve">Microwave  </t>
  </si>
  <si>
    <t>NGOB/01/0187</t>
  </si>
  <si>
    <t>Mettallic cabinet 4 drawers</t>
  </si>
  <si>
    <t xml:space="preserve"> </t>
  </si>
  <si>
    <t>Bakari Chara</t>
  </si>
  <si>
    <t>NGOB/01/0188</t>
  </si>
  <si>
    <t>NGOB/01/0189</t>
  </si>
  <si>
    <t>Mettallic cabinet  two door</t>
  </si>
  <si>
    <t>NGOB/03/0071</t>
  </si>
  <si>
    <t>CPU 
Monitor
Keyboard</t>
  </si>
  <si>
    <t>CZ018C7P
3CQ0030ZLZ</t>
  </si>
  <si>
    <t>NGOB/02/084
NGOB/02/085
NGOB/02/086</t>
  </si>
  <si>
    <t xml:space="preserve">HP PRODESK INTEL(R) CORE™I5-9500 4GB,500GB
17''inch LED HP Monitor 
</t>
  </si>
  <si>
    <t>CZC018C2FS
3CQ0030ZMB</t>
  </si>
  <si>
    <t>NGOB/02/0053
NGOB/02/0051
NGOB/02/0052</t>
  </si>
  <si>
    <t>CZ018C2DG
3CQ0030W1V</t>
  </si>
  <si>
    <t>NGOB/02/0129
NGOB/02/0130
NGOB/02/0131</t>
  </si>
  <si>
    <t xml:space="preserve">HP PRODESK INTEL(R) CORE™I5-9500 4GB,500GB
17''inch LED HP Monitor
</t>
  </si>
  <si>
    <t>Racheal Kimongo</t>
  </si>
  <si>
    <t>CZ018CZ80
3CQ0030W1P</t>
  </si>
  <si>
    <t>Steve Kamande</t>
  </si>
  <si>
    <t>C2C018C510
3CQ0030ZKB</t>
  </si>
  <si>
    <t>NGOB/02/0220
NGOB/02/0219
NGOB/02/0221</t>
  </si>
  <si>
    <t>Arasa Mokua</t>
  </si>
  <si>
    <t>C2C01807S
3CQ00312B7</t>
  </si>
  <si>
    <t>NGOB/02/0217
NGOB/02/0216
NGOB/02/0218</t>
  </si>
  <si>
    <t>Immaculate Muthoni</t>
  </si>
  <si>
    <t>CZCO18BYGK
3CQ0030Z8H</t>
  </si>
  <si>
    <t>NGOB/02/0028
NGOB/02/0029
NGOB/02/0030</t>
  </si>
  <si>
    <t>Research Department</t>
  </si>
  <si>
    <t>CZCO18BYK4
3CQ0030Z9H</t>
  </si>
  <si>
    <t>NGOB/02/0091
NGOB/02/0021
NGOB/02/0022</t>
  </si>
  <si>
    <t>Amina Matheka</t>
  </si>
  <si>
    <t>CZCO18C2HJ
3CQ0030WC2</t>
  </si>
  <si>
    <t>NGOB/02/0020
NGOB/02/0032
NGOB/02/0033</t>
  </si>
  <si>
    <t>CZCO18COBT
3CQ0031011</t>
  </si>
  <si>
    <t>NGOB/02/0024
NGOB/02/0025
NGOB/02/0026</t>
  </si>
  <si>
    <t>Yvonne Ambundo</t>
  </si>
  <si>
    <t>4CE938205W
3CQ9191LJD</t>
  </si>
  <si>
    <t>NGOB/02/0159
NGOB/02/0158
NGOB/02/0160</t>
  </si>
  <si>
    <t>Juliet Karari</t>
  </si>
  <si>
    <t>Nick Sankale</t>
  </si>
  <si>
    <t>CZC018C28H
3CQ0031XQ1</t>
  </si>
  <si>
    <t>Scholar Mutua</t>
  </si>
  <si>
    <t>CZC018C2D2
3CQ0030ZMD</t>
  </si>
  <si>
    <t>NGOB/02/0100
NGOB/02/0101
NGOB/02/0102</t>
  </si>
  <si>
    <t>Eileen Baraza</t>
  </si>
  <si>
    <t>CZC018C580
3CQOO30ZHF</t>
  </si>
  <si>
    <t>NGOB/02/0075
NGOB/02/0076
NGOB/02/0077</t>
  </si>
  <si>
    <t>Aisha Abdi</t>
  </si>
  <si>
    <t>CZCO18BYKD
3CQOO30Z8J</t>
  </si>
  <si>
    <t>NGOB/02/0065
NGOB/02/0066
NGOB/02/0067</t>
  </si>
  <si>
    <t>Esther Letting</t>
  </si>
  <si>
    <t>CZCO18C2C8
3CQ0030WWRV</t>
  </si>
  <si>
    <t>NGOB/02/0207
NGOB/02/0206
NGOB/02/0208</t>
  </si>
  <si>
    <t>Maureen Kimunguyi</t>
  </si>
  <si>
    <t>CZC018BZTS
3CQ0030Z6R</t>
  </si>
  <si>
    <t>NGOB/02/0232
NGOB/02/0092
NGOB/02/0093</t>
  </si>
  <si>
    <t>Habiba Hissack</t>
  </si>
  <si>
    <t>CZC018BYG7
3CQ0030Z84</t>
  </si>
  <si>
    <t>Rukia Noor</t>
  </si>
  <si>
    <t>CZC018C2LS
3CQ0030ZKG</t>
  </si>
  <si>
    <t>Eric Waithaka</t>
  </si>
  <si>
    <t>CZC018C52L
3CQ0030Z2S</t>
  </si>
  <si>
    <t>NGOB/02/0103
NGOB/02/0104
NGOB/02/0105</t>
  </si>
  <si>
    <t xml:space="preserve">Ezner Moriasi </t>
  </si>
  <si>
    <t>CZC018BYFR
3CQ00310R0</t>
  </si>
  <si>
    <t>NGOB/02/0081
NGOB/02/0082
NGOB/02/0074</t>
  </si>
  <si>
    <t>Betty Odera</t>
  </si>
  <si>
    <t>CZ018C2YW
3CQ0030W1T</t>
  </si>
  <si>
    <t>NGOB/02/0062
NGOB/02/0063
NGOB/02/0064</t>
  </si>
  <si>
    <t>CZC018C56B
3CQ0030Z9P</t>
  </si>
  <si>
    <t>NGOB/02/0087
NGOB/02/0088
NGOB/02/0089</t>
  </si>
  <si>
    <t>Beatrice Topisia</t>
  </si>
  <si>
    <t>4CE9381ZWP
3CQ9191LFJ</t>
  </si>
  <si>
    <t>NGOB/02/0007
NGOB/02/0004
NGOB/02/0108</t>
  </si>
  <si>
    <t>CZCO18BZVC
3CQ0030Z8L</t>
  </si>
  <si>
    <t>NGOB/02/0144
NGOB/02/0145
NGOB/02/0143</t>
  </si>
  <si>
    <t>Lindon Nicolas</t>
  </si>
  <si>
    <t>4CE9381ZW7
3CQ9191K4R</t>
  </si>
  <si>
    <t>NGOB/02/0291
NGOB/02/0292
NGOB/02/0293</t>
  </si>
  <si>
    <t>Nakuru</t>
  </si>
  <si>
    <t>James Onkoba</t>
  </si>
  <si>
    <t>CZC018BYHF
3CQ0030Z8M</t>
  </si>
  <si>
    <t>NGOB/02/0187
NGOB/02/0186
NGOB/02/0185</t>
  </si>
  <si>
    <t>Duncan Mokaya</t>
  </si>
  <si>
    <t>CZC018BZV7
3CQ0030Z8M</t>
  </si>
  <si>
    <t>NGOB/02/0147
NGOB/02/0148
NGOB/02/0149</t>
  </si>
  <si>
    <t>Bakari Chala</t>
  </si>
  <si>
    <t>CZC018C2D4
3CQ0030Z8M</t>
  </si>
  <si>
    <t>NGOB/02/0150
NGOB/02/0151
NGOB/02/0152</t>
  </si>
  <si>
    <t>Mombasa Office</t>
  </si>
  <si>
    <t>4CE9382OK5
3CQ9191L75</t>
  </si>
  <si>
    <t>NGOB/02/0195
NGOB/02/0190
NGOB/02/0189</t>
  </si>
  <si>
    <t>Caroline Kimaiyo</t>
  </si>
  <si>
    <t>CZC018BYDJ
3CQ0030Z9Q</t>
  </si>
  <si>
    <t>NGOB/02/0197
NGOB/02/0196
NGOB/02/01</t>
  </si>
  <si>
    <t>Eldoret Office</t>
  </si>
  <si>
    <t>CZC018CZ88
3CQ0030W6V</t>
  </si>
  <si>
    <t>NGOB/02/0138
NGOB/02/0139
NGOB/02/0140</t>
  </si>
  <si>
    <t>Garissa</t>
  </si>
  <si>
    <t>4CE938208N
3CQ8510GJZ</t>
  </si>
  <si>
    <t>NGOB/02/0281
NGOB/02/0283
NGOB/02/0279</t>
  </si>
  <si>
    <t>Allan Kashoka</t>
  </si>
  <si>
    <t>CZC018BZVD
3CQ003QZ3J</t>
  </si>
  <si>
    <t>NGOB/02/0282
NGOB/02/0287
NGOB/02/0290</t>
  </si>
  <si>
    <t>CZC018C55W
3CQ0030Z5Y</t>
  </si>
  <si>
    <t xml:space="preserve">HP PRO 3500 SERIES,INTEL CORE I3 3240, 4GB,500GB 
17''inch LED HP Monitor
</t>
  </si>
  <si>
    <t>ICT INTERN</t>
  </si>
  <si>
    <t>7P6KB22
CN-OU417N-64180-98JOUMU</t>
  </si>
  <si>
    <t>NGOB/02/0210
NGOB/02/0209
NGOB/02/0211</t>
  </si>
  <si>
    <t>HR Department</t>
  </si>
  <si>
    <t>NGOB/02/0121
NGOB/02/0199
NGOB/02/0123</t>
  </si>
  <si>
    <t xml:space="preserve">IMAC PRO
</t>
  </si>
  <si>
    <t>Richard Chesos</t>
  </si>
  <si>
    <t>CZCO18BYG6
 3CQ0030Z96</t>
  </si>
  <si>
    <t>NGOB/02/0044
NGOB/02/0046
NGOB/02/0048</t>
  </si>
  <si>
    <t xml:space="preserve">INTEL CORE I3 4TH GENERATION,4GB, 500 GB  
17''inch LED HP Monitor
</t>
  </si>
  <si>
    <t>Muktar Mohamed</t>
  </si>
  <si>
    <t>DB3357
 CN-OR735N-64180-9CJ-1HEAU</t>
  </si>
  <si>
    <t>NGOB/02/0162
NGOB/02/0056
NGOB/02/0163</t>
  </si>
  <si>
    <t>5QQX232
CN-ONJVXM-72872-4BB-E00B</t>
  </si>
  <si>
    <t>NGOB/02/0155
NGOB/02/0154
NGOB/02/0156</t>
  </si>
  <si>
    <t xml:space="preserve">DELL OPTIPLEX 3020        INTEL CORE I3                   4GB,500GB  
17''inch LED HDell Monitor
</t>
  </si>
  <si>
    <t>Mercy Soy</t>
  </si>
  <si>
    <t>B3XY232
CN-ONJVXM-72872-4BB-DY5B</t>
  </si>
  <si>
    <t xml:space="preserve">DELL OPTIPLEX 3020        INTEL CORE I3                   4GB,500GB  
17''inch LED HP Monitor
</t>
  </si>
  <si>
    <t>Julius Kaburu</t>
  </si>
  <si>
    <t>2P25732
CN-0657PN-64180-512-A8GI</t>
  </si>
  <si>
    <t xml:space="preserve">DELL OPTIPLEX 3020        INTEL CORE I3                   4GB,500GB 
17''inch LED Dell Monitor
</t>
  </si>
  <si>
    <t xml:space="preserve">DELL OPTIPLEX 3020        INTEL CORE I3                   4GB,500GB
17''inch LED Dell Monitor
</t>
  </si>
  <si>
    <t>Reception</t>
  </si>
  <si>
    <t>4CE93815X3
3CQ919KXR</t>
  </si>
  <si>
    <t>NGOB/02/0201
NGOB/02/0200
NGOB/02/0202</t>
  </si>
  <si>
    <t xml:space="preserve">HP INTEL CORE I7 7th GENERATION ,4GB,500GB 
17''inch LED HP Monitor
</t>
  </si>
  <si>
    <t>Payroll Server</t>
  </si>
  <si>
    <t>9F7KB22
CN-0R735N-64180-9CJ-04WU</t>
  </si>
  <si>
    <t>NGOB/02/0204
NGOB/02/0203
NGOB/02/0205</t>
  </si>
  <si>
    <t>Bernard Bwoma</t>
  </si>
  <si>
    <t>Nakuru Office</t>
  </si>
  <si>
    <t>BZ15732
CN-0657PN-64180-512-AAHI</t>
  </si>
  <si>
    <t>NGOB/02/0175
NGOB/02/0174
NGOB/02/0188</t>
  </si>
  <si>
    <t>Kisumu Office</t>
  </si>
  <si>
    <t>4CE9382O7F
3CQ851OGY6</t>
  </si>
  <si>
    <t>NGOB/02/0135
NGOB/02/0136
NGOB/02/0137</t>
  </si>
  <si>
    <t xml:space="preserve">HP PRO DESK400 G4, CORE I7 , 8GB,1TB MICRO TOWER PC
17''inch LED HP Monitor
</t>
  </si>
  <si>
    <t>Garissa Office</t>
  </si>
  <si>
    <t>LAPTOP COMPUTER</t>
  </si>
  <si>
    <t>PF54YZDD</t>
  </si>
  <si>
    <t>Lenovo Thinkpad T14 Gen4 Intel core I7 1355U</t>
  </si>
  <si>
    <t>5CD9135LHR</t>
  </si>
  <si>
    <t>5CD0152R6G</t>
  </si>
  <si>
    <t>Deputy Executive Director</t>
  </si>
  <si>
    <t>5CD0152QZK</t>
  </si>
  <si>
    <t>5CD0152R5Y</t>
  </si>
  <si>
    <t>NGOB/02/0379</t>
  </si>
  <si>
    <t>5CD03590FZC</t>
  </si>
  <si>
    <t>NGOB/02/0023</t>
  </si>
  <si>
    <t>5CD0359OHM</t>
  </si>
  <si>
    <t>NGOB/02/0027</t>
  </si>
  <si>
    <t>Yvonne Isichi</t>
  </si>
  <si>
    <t>5CD0359OHJC</t>
  </si>
  <si>
    <t>NGOB/02/0276</t>
  </si>
  <si>
    <t>Josephine Wanjala</t>
  </si>
  <si>
    <t>5CD0359OJMC</t>
  </si>
  <si>
    <t>Zilpah Kwamboka</t>
  </si>
  <si>
    <t>5CD0359OH4C</t>
  </si>
  <si>
    <t>Caroline Nyambura</t>
  </si>
  <si>
    <t>5CD0359OJ4</t>
  </si>
  <si>
    <t>5CD0359OGWC</t>
  </si>
  <si>
    <t>5CD0359OHCC</t>
  </si>
  <si>
    <t>5CD032LOCNC</t>
  </si>
  <si>
    <t>5CD0359OKIC</t>
  </si>
  <si>
    <t>Joy Kawira</t>
  </si>
  <si>
    <t>5CD0359OHQC</t>
  </si>
  <si>
    <t>5CD0359OGPC</t>
  </si>
  <si>
    <t>NGOB/02/0300</t>
  </si>
  <si>
    <t>Yvonne Gitau</t>
  </si>
  <si>
    <t>5CD0359OHB</t>
  </si>
  <si>
    <t>5CD0359OJW</t>
  </si>
  <si>
    <t>5CD0359OH9</t>
  </si>
  <si>
    <t>NGOB/02/0277</t>
  </si>
  <si>
    <t>5CD0359OHLC</t>
  </si>
  <si>
    <t>NGOB/02/0049</t>
  </si>
  <si>
    <t>5CD032LODV</t>
  </si>
  <si>
    <t>5CD0359OHO</t>
  </si>
  <si>
    <t>Eric Muthomi</t>
  </si>
  <si>
    <t>5CD032LOF3C</t>
  </si>
  <si>
    <t>NGOB/02/0310</t>
  </si>
  <si>
    <t>Josephine Ngatia</t>
  </si>
  <si>
    <t>5CD03590HQ</t>
  </si>
  <si>
    <t>Stephen Monyoncho</t>
  </si>
  <si>
    <t>5CD032LOFDC</t>
  </si>
  <si>
    <t>NGOB/02/0176</t>
  </si>
  <si>
    <t>5CD03590HFC</t>
  </si>
  <si>
    <t>5CD032LO9G</t>
  </si>
  <si>
    <t>NGOB/02/0278</t>
  </si>
  <si>
    <t>5CD03590JL</t>
  </si>
  <si>
    <t>5CD032L0F0</t>
  </si>
  <si>
    <t>NGOB/02/0191</t>
  </si>
  <si>
    <t>5CD03590JB</t>
  </si>
  <si>
    <t>Bernandette Nzomo</t>
  </si>
  <si>
    <t>CND446COD1</t>
  </si>
  <si>
    <t>HP PRO BOOK,  CORE I7,8GB,1TB</t>
  </si>
  <si>
    <t>Francis Tumuti</t>
  </si>
  <si>
    <t>PRINTER/COPIER</t>
  </si>
  <si>
    <t>ICT</t>
  </si>
  <si>
    <t>VIC4815045</t>
  </si>
  <si>
    <t>NGOB/02/0212</t>
  </si>
  <si>
    <t>Kyocera FS 625MFP</t>
  </si>
  <si>
    <t>CNCJN25532</t>
  </si>
  <si>
    <t>HP Laserjet P2055</t>
  </si>
  <si>
    <t>CNCHB36051</t>
  </si>
  <si>
    <t>NGOB/02/0117</t>
  </si>
  <si>
    <t>HP Laserjet CP1025 Color</t>
  </si>
  <si>
    <t>CNCJN25537</t>
  </si>
  <si>
    <t>NGOB/02/0054</t>
  </si>
  <si>
    <t>CNC1740058</t>
  </si>
  <si>
    <t>NGOB/02/0157</t>
  </si>
  <si>
    <t>CNBW6CQOL7</t>
  </si>
  <si>
    <t>NGOB/02/0068</t>
  </si>
  <si>
    <t>HP Laserjet P2015</t>
  </si>
  <si>
    <t>CNCJB64943</t>
  </si>
  <si>
    <t>HP Laserjet P2055d</t>
  </si>
  <si>
    <t>PHC6N28161</t>
  </si>
  <si>
    <t>NGOB/02/0003</t>
  </si>
  <si>
    <t>HP Laserjet Pro 402dne</t>
  </si>
  <si>
    <t>160040-17</t>
  </si>
  <si>
    <t>KYOCERA Ecosys P2040dn</t>
  </si>
  <si>
    <t>NAKURU</t>
  </si>
  <si>
    <t>VNH3B04568</t>
  </si>
  <si>
    <t>NGOB/02/0001</t>
  </si>
  <si>
    <t>Color HP Laserjet Pro M452dn</t>
  </si>
  <si>
    <t>C359PB00408</t>
  </si>
  <si>
    <t>NGOB/02/0264</t>
  </si>
  <si>
    <t>Ricoh MP 3055</t>
  </si>
  <si>
    <t>NGOB/02/0274</t>
  </si>
  <si>
    <t>Kyocera Taskalfa 6003i</t>
  </si>
  <si>
    <t>QPF2455670</t>
  </si>
  <si>
    <t>Kyocera 1203 MX5KLO</t>
  </si>
  <si>
    <t>C359PC00502</t>
  </si>
  <si>
    <t>NGOB/02/0501</t>
  </si>
  <si>
    <t>NGOB/02/0072</t>
  </si>
  <si>
    <t>C359PC00562</t>
  </si>
  <si>
    <t>NGOB/02/0153</t>
  </si>
  <si>
    <t>C359PC00567</t>
  </si>
  <si>
    <t>NGOB/02/0192</t>
  </si>
  <si>
    <t>C359PC00550</t>
  </si>
  <si>
    <t>NGOB/02/0142</t>
  </si>
  <si>
    <t>UPS</t>
  </si>
  <si>
    <t>1Q1129007755</t>
  </si>
  <si>
    <t>NGOB/02/0306</t>
  </si>
  <si>
    <t>APC RT 5000</t>
  </si>
  <si>
    <t>N50631027202</t>
  </si>
  <si>
    <t>NGOB/02/0307</t>
  </si>
  <si>
    <t>APC RT 3000</t>
  </si>
  <si>
    <t>3B1402X22286</t>
  </si>
  <si>
    <t>APC RT 650</t>
  </si>
  <si>
    <t>AS2107151772</t>
  </si>
  <si>
    <t>NGOB/02/0302</t>
  </si>
  <si>
    <t>APC C1500</t>
  </si>
  <si>
    <t>AS2105143500</t>
  </si>
  <si>
    <t>NGOB/02/0303</t>
  </si>
  <si>
    <t>APC C3000</t>
  </si>
  <si>
    <t>PROJECTOR</t>
  </si>
  <si>
    <t>V9HK5301484</t>
  </si>
  <si>
    <t>NGOB/02/0378</t>
  </si>
  <si>
    <t>Epson H551B</t>
  </si>
  <si>
    <t>FIREWALL</t>
  </si>
  <si>
    <t>FG4HOE5819902946</t>
  </si>
  <si>
    <t>NGOB/02/0309</t>
  </si>
  <si>
    <t>Fortinet/ Fortigate 400E</t>
  </si>
  <si>
    <t>ROUTER</t>
  </si>
  <si>
    <t>FCZ1414C35V</t>
  </si>
  <si>
    <t>Cisco 2800</t>
  </si>
  <si>
    <t>SWITCH</t>
  </si>
  <si>
    <t>F3063AA5009329</t>
  </si>
  <si>
    <t>DLINK DES-1016D, 24 PORT</t>
  </si>
  <si>
    <t>DRC2AA6002102</t>
  </si>
  <si>
    <t>DLINK DGS-1024D, 24 PORT</t>
  </si>
  <si>
    <t>F30H162000283</t>
  </si>
  <si>
    <t>DLINK DES-1024D, 24 PORT</t>
  </si>
  <si>
    <t>FCW1809AOKN</t>
  </si>
  <si>
    <t>CISCO 2960 X SERIES, 24 PORT</t>
  </si>
  <si>
    <t>DLINK , 16 PORT</t>
  </si>
  <si>
    <t>TP LINK , 16 PORT</t>
  </si>
  <si>
    <t>210235A3MT9217Q0005G</t>
  </si>
  <si>
    <t>NGOB/02/0382</t>
  </si>
  <si>
    <t>H3C S5560 Series 46 Port</t>
  </si>
  <si>
    <t>210235A3MT9217Q0005F</t>
  </si>
  <si>
    <t>NGOB/02/0383</t>
  </si>
  <si>
    <t>210235A2D6H2170C0002</t>
  </si>
  <si>
    <t>NGOB/02/0384</t>
  </si>
  <si>
    <t xml:space="preserve">H3C S6860 Series </t>
  </si>
  <si>
    <t>WIFI DEVICE</t>
  </si>
  <si>
    <t>1337G 24A43C0274F4</t>
  </si>
  <si>
    <t>UNIFI</t>
  </si>
  <si>
    <t>219801A24H8211E00093</t>
  </si>
  <si>
    <t>NGOB/02/0314</t>
  </si>
  <si>
    <t>H3C</t>
  </si>
  <si>
    <t>AIR CON</t>
  </si>
  <si>
    <t>LG CEILING CASSETE AIR CON</t>
  </si>
  <si>
    <t>NGOB/03/0107</t>
  </si>
  <si>
    <t>LAN installation</t>
  </si>
  <si>
    <t>Network Cabling Installation and Commissioning</t>
  </si>
  <si>
    <t>NGOB/03/00100</t>
  </si>
  <si>
    <t>NGOB/03/0114</t>
  </si>
  <si>
    <t>SIGNATURE PADS</t>
  </si>
  <si>
    <t>TLBK460HT21M6738</t>
  </si>
  <si>
    <t>NGOB/02/0299</t>
  </si>
  <si>
    <t>TOPAZ SYSTEMS INC</t>
  </si>
  <si>
    <t>TLBK460HT21M6731</t>
  </si>
  <si>
    <t>NGOB/02/0296</t>
  </si>
  <si>
    <t>TLBK460HT21M6737</t>
  </si>
  <si>
    <t>NGOB/02/0012</t>
  </si>
  <si>
    <t>TLBK460HT21M6735</t>
  </si>
  <si>
    <t>NGOB/02/0124</t>
  </si>
  <si>
    <t>TLBK460HT21M6736</t>
  </si>
  <si>
    <t>NGOB/02/0034</t>
  </si>
  <si>
    <t>TLBK460HT21M6733</t>
  </si>
  <si>
    <t>NGOB/02/0170</t>
  </si>
  <si>
    <t>TLBK460HT21M6734</t>
  </si>
  <si>
    <t>NGOB/02/0112</t>
  </si>
  <si>
    <t>TLBK460HT21M6732</t>
  </si>
  <si>
    <t>NGOB/02/</t>
  </si>
  <si>
    <t>Executive IP phone</t>
  </si>
  <si>
    <t>201203011C604442</t>
  </si>
  <si>
    <t>NGOB/02/0330</t>
  </si>
  <si>
    <t>Yearlink SIP-T46U</t>
  </si>
  <si>
    <t>TELEPHONE HEADS</t>
  </si>
  <si>
    <t>201203011C604510</t>
  </si>
  <si>
    <t>NGOB/02/0328</t>
  </si>
  <si>
    <t>Lindon Otieno</t>
  </si>
  <si>
    <t>NGOB/02/0331</t>
  </si>
  <si>
    <t>Yearlink T19P E2</t>
  </si>
  <si>
    <t>201203011C602462</t>
  </si>
  <si>
    <t>NGOB/02/0332</t>
  </si>
  <si>
    <t>201203011C602463</t>
  </si>
  <si>
    <t>NGOB/02/0333</t>
  </si>
  <si>
    <t>Elizabeth kamau</t>
  </si>
  <si>
    <t>201203011C602464</t>
  </si>
  <si>
    <t>NGOB/02/0325</t>
  </si>
  <si>
    <t>NGOB/02/0326</t>
  </si>
  <si>
    <t>201203011C600850</t>
  </si>
  <si>
    <t>NGOB/02/0311</t>
  </si>
  <si>
    <t>NGOB/02/0318</t>
  </si>
  <si>
    <t>NGOB/02/0323</t>
  </si>
  <si>
    <t>NGOB/02/0324</t>
  </si>
  <si>
    <t>201203011C602093</t>
  </si>
  <si>
    <t>NGOB/02/0319</t>
  </si>
  <si>
    <t>NGOB/02/0321</t>
  </si>
  <si>
    <t>NGOB/02/0335</t>
  </si>
  <si>
    <t>NGOB/02/0336</t>
  </si>
  <si>
    <t>NGOB/02/0337</t>
  </si>
  <si>
    <t>Server Room</t>
  </si>
  <si>
    <t>NGOB/02/0338</t>
  </si>
  <si>
    <t>NGOB/02/0320</t>
  </si>
  <si>
    <t>Israel komora</t>
  </si>
  <si>
    <t>NGOB/02/0339</t>
  </si>
  <si>
    <t>NGOB/02/0340</t>
  </si>
  <si>
    <t>Esther Mosbei</t>
  </si>
  <si>
    <t>NGOB/02/0341</t>
  </si>
  <si>
    <t>NGOB/02/0343</t>
  </si>
  <si>
    <t>NGOB/02/0370</t>
  </si>
  <si>
    <t>NGOB/02/0371</t>
  </si>
  <si>
    <t>201203011C600453</t>
  </si>
  <si>
    <t>NGOB/02/0369</t>
  </si>
  <si>
    <t>NGOB/02/0344</t>
  </si>
  <si>
    <t>Ezner Moriasi</t>
  </si>
  <si>
    <t>NGOB/02/0345</t>
  </si>
  <si>
    <t>Betty Odero</t>
  </si>
  <si>
    <t>201203011C604592</t>
  </si>
  <si>
    <t>NGOB/02/0352</t>
  </si>
  <si>
    <t>NGOB/02/0312</t>
  </si>
  <si>
    <t>NGOB/02/0313</t>
  </si>
  <si>
    <t>NGOB/02/0315</t>
  </si>
  <si>
    <t xml:space="preserve">Cash Office </t>
  </si>
  <si>
    <t>NGOB/02/0351</t>
  </si>
  <si>
    <t>NGOB/02/0350</t>
  </si>
  <si>
    <t>NGOB/02/0349</t>
  </si>
  <si>
    <t>NGOB/02/0347</t>
  </si>
  <si>
    <t>201203011C602908</t>
  </si>
  <si>
    <t>NGOB/02/0316</t>
  </si>
  <si>
    <t>NGOB/02/0353</t>
  </si>
  <si>
    <t>NGOB/02/0354</t>
  </si>
  <si>
    <t>NGOB/02/0355</t>
  </si>
  <si>
    <t>NGOB/02/0365</t>
  </si>
  <si>
    <t>NGOB/02/0357</t>
  </si>
  <si>
    <t>Zulekha Abdi</t>
  </si>
  <si>
    <t>NGOB/02/0358</t>
  </si>
  <si>
    <t>201203011C600183</t>
  </si>
  <si>
    <t>NGOB/02/0360</t>
  </si>
  <si>
    <t>201203011C600282</t>
  </si>
  <si>
    <t>NGOB/02/0361</t>
  </si>
  <si>
    <t>201203011C602266</t>
  </si>
  <si>
    <t>NGOB/02/0363</t>
  </si>
  <si>
    <t>Carol Nyambura</t>
  </si>
  <si>
    <t>201203011C604157</t>
  </si>
  <si>
    <t>NGOB/02/0364</t>
  </si>
  <si>
    <t>Bernadette Nzomo</t>
  </si>
  <si>
    <t>NGOB/02/0368</t>
  </si>
  <si>
    <t>Chairman</t>
  </si>
  <si>
    <t>201203011C604908</t>
  </si>
  <si>
    <t>NGOB/02/0366</t>
  </si>
  <si>
    <t>NGOB/02/0509</t>
  </si>
  <si>
    <t>NGOB/02/0367</t>
  </si>
  <si>
    <t>NGOB/02/0505</t>
  </si>
  <si>
    <t>NGOB/0/02/0506</t>
  </si>
  <si>
    <t>NGOB/02/1968</t>
  </si>
  <si>
    <t>Kitchen</t>
  </si>
  <si>
    <t>IP PBX equipment</t>
  </si>
  <si>
    <t>Operator IP phone</t>
  </si>
  <si>
    <t>Conference phone</t>
  </si>
  <si>
    <t>NGOB/02/0373</t>
  </si>
  <si>
    <t>Resource Center</t>
  </si>
  <si>
    <t>BAR CODE READER</t>
  </si>
  <si>
    <t>19345B38B4</t>
  </si>
  <si>
    <t>NGOB/02/0375</t>
  </si>
  <si>
    <t>Honeywell</t>
  </si>
  <si>
    <t>19341B2401</t>
  </si>
  <si>
    <t>NGOB/02/0372</t>
  </si>
  <si>
    <t>19341B2407</t>
  </si>
  <si>
    <t>NGOB/02/0374</t>
  </si>
  <si>
    <t>SERVER</t>
  </si>
  <si>
    <t>B1WYT2</t>
  </si>
  <si>
    <t xml:space="preserve">NGOB/03/0081
</t>
  </si>
  <si>
    <t>POWER EDGE 2950,QUAD CORE, 32GB,600GB</t>
  </si>
  <si>
    <t>J308EM3</t>
  </si>
  <si>
    <t>NGOB/03/0083</t>
  </si>
  <si>
    <t>IBM Lenovo, 8 core 3.5Ghz x2, 146GB, 6TB</t>
  </si>
  <si>
    <t>CKDTD5J</t>
  </si>
  <si>
    <t>NGOB/03/0082</t>
  </si>
  <si>
    <t>POWER EDGE R710,QUAD CORE, 192GB, 1.5TB</t>
  </si>
  <si>
    <t>CZ21110271</t>
  </si>
  <si>
    <t>NGOB/03/0042</t>
  </si>
  <si>
    <t>HP Proliant DL380 Gen10</t>
  </si>
  <si>
    <t>CZ21110255</t>
  </si>
  <si>
    <t>NGOB/03/0223</t>
  </si>
  <si>
    <t>C6910CD3D8E6/017/r2</t>
  </si>
  <si>
    <t>NGOB/03/0078</t>
  </si>
  <si>
    <t>Mikrotik RB201</t>
  </si>
  <si>
    <t>Office Desk</t>
  </si>
  <si>
    <t>NGOB/01/0342</t>
  </si>
  <si>
    <t>L-Shaped W/S 1.8 m</t>
  </si>
  <si>
    <t>NGOB/01/0286</t>
  </si>
  <si>
    <t>NGOB/01/0127</t>
  </si>
  <si>
    <t>Administration department</t>
  </si>
  <si>
    <t>NGOB/01/0120</t>
  </si>
  <si>
    <t>NGOB/01/0019</t>
  </si>
  <si>
    <t>NGOB/01/0075</t>
  </si>
  <si>
    <t>Carolyne Nyambura</t>
  </si>
  <si>
    <t>NGOB/01/0500</t>
  </si>
  <si>
    <t>NGOB/01/0493</t>
  </si>
  <si>
    <t>NGOB/01/0018</t>
  </si>
  <si>
    <t>Margaret Mwai</t>
  </si>
  <si>
    <t xml:space="preserve">Mobile Drawers </t>
  </si>
  <si>
    <t>NGOB/01/0343</t>
  </si>
  <si>
    <t>Four drawers</t>
  </si>
  <si>
    <t>NGOB/01/0266</t>
  </si>
  <si>
    <t>NGOB/01/0116</t>
  </si>
  <si>
    <t>Aisha Mohammed</t>
  </si>
  <si>
    <t>NGOB/01/0273</t>
  </si>
  <si>
    <t>NGOB/01/0312</t>
  </si>
  <si>
    <t>NGOB/01/0154</t>
  </si>
  <si>
    <t>NGOB/01/0300</t>
  </si>
  <si>
    <t>NGOB/01/0077</t>
  </si>
  <si>
    <t>Allan Gashoka</t>
  </si>
  <si>
    <t>NGOB/01/0074</t>
  </si>
  <si>
    <t>Office Table with Suspension Drawers</t>
  </si>
  <si>
    <t>NGOB/01/0290</t>
  </si>
  <si>
    <t>Table top 1.5 M</t>
  </si>
  <si>
    <t>NGOB/01/0372</t>
  </si>
  <si>
    <t>NGOB/01/0117</t>
  </si>
  <si>
    <t>Ezna Moriasi</t>
  </si>
  <si>
    <t>NGOB/01/0132</t>
  </si>
  <si>
    <t>Beatrice Odero</t>
  </si>
  <si>
    <t>NGOB/01/0308</t>
  </si>
  <si>
    <t>Stephen Kamande</t>
  </si>
  <si>
    <t>Suspension Drawers</t>
  </si>
  <si>
    <t>NGOB/01/0334</t>
  </si>
  <si>
    <t xml:space="preserve"> 3 drawer pedestrial</t>
  </si>
  <si>
    <t>NGOB/01/0420</t>
  </si>
  <si>
    <t>NGOB/01/0126</t>
  </si>
  <si>
    <t>NGOB/01/0272</t>
  </si>
  <si>
    <t>NGOB/01/0291</t>
  </si>
  <si>
    <t>Side Return</t>
  </si>
  <si>
    <t>NGOB/01/0049</t>
  </si>
  <si>
    <t>Side return</t>
  </si>
  <si>
    <t>Andrew Ogombe</t>
  </si>
  <si>
    <t>NGOB/01/0110</t>
  </si>
  <si>
    <t>NGOB/01/0445</t>
  </si>
  <si>
    <t>NGOB/01/0097</t>
  </si>
  <si>
    <t>NGOB/01/0346</t>
  </si>
  <si>
    <t>Desktop Screen</t>
  </si>
  <si>
    <t>L shape work station</t>
  </si>
  <si>
    <t>NGOB/01/0396</t>
  </si>
  <si>
    <t>NGOB/01/0377</t>
  </si>
  <si>
    <t>NGOB/01/0350</t>
  </si>
  <si>
    <t>Mukhtar Mohamed</t>
  </si>
  <si>
    <t>NGOB/01/0359</t>
  </si>
  <si>
    <t>Easther Letting</t>
  </si>
  <si>
    <t>NGOB/01/0351</t>
  </si>
  <si>
    <t>NGOB/01/0271</t>
  </si>
  <si>
    <t>NGOB/01/0398</t>
  </si>
  <si>
    <t>NGOB/01/0382</t>
  </si>
  <si>
    <t>NGOB/01/0326</t>
  </si>
  <si>
    <t>Pedestrial mobile</t>
  </si>
  <si>
    <t>NGOB/01/0131</t>
  </si>
  <si>
    <t>NGOB/01/0121</t>
  </si>
  <si>
    <t>Eric Wainaina</t>
  </si>
  <si>
    <t>NGOB/01/0111</t>
  </si>
  <si>
    <t>NGOB/01/0494</t>
  </si>
  <si>
    <t>Office Chairs</t>
  </si>
  <si>
    <t>NGOB/01/0329</t>
  </si>
  <si>
    <t>High back swivel</t>
  </si>
  <si>
    <t>NGOB/01/0390</t>
  </si>
  <si>
    <t>Satra Hassan</t>
  </si>
  <si>
    <t>NGOB/01/0316</t>
  </si>
  <si>
    <t>NGOB/01/0301</t>
  </si>
  <si>
    <t>Scolastica Mutua</t>
  </si>
  <si>
    <t>NGOB/01/0518</t>
  </si>
  <si>
    <t>Resource Centre</t>
  </si>
  <si>
    <t>NGOB/01/0516</t>
  </si>
  <si>
    <t>NGOB/01/0292</t>
  </si>
  <si>
    <t>NGOB/01/0321</t>
  </si>
  <si>
    <t>NGOB/01/0371</t>
  </si>
  <si>
    <t>NGOB/01/0489</t>
  </si>
  <si>
    <t>NGOB/01/0432</t>
  </si>
  <si>
    <t>Medium Swivel back</t>
  </si>
  <si>
    <t>NGOB/01/0534</t>
  </si>
  <si>
    <t>NGOB/01/0522</t>
  </si>
  <si>
    <t>NGOB/01/0294</t>
  </si>
  <si>
    <t>Reception front office</t>
  </si>
  <si>
    <t>NGOB/01/0436</t>
  </si>
  <si>
    <t>Paulman Mongarora</t>
  </si>
  <si>
    <t>NGOB/01/0424</t>
  </si>
  <si>
    <t>NGOB/01/0419</t>
  </si>
  <si>
    <t>Habiba Issack</t>
  </si>
  <si>
    <t>NGOB/01/0529</t>
  </si>
  <si>
    <t>Burkley</t>
  </si>
  <si>
    <t>NGOB/01/0279</t>
  </si>
  <si>
    <t>NGOB/01/0327</t>
  </si>
  <si>
    <t>NGOB/01/0302</t>
  </si>
  <si>
    <t>NGOB/01/0392</t>
  </si>
  <si>
    <t>NGOB/01/0425</t>
  </si>
  <si>
    <t>NGOB/01/0519</t>
  </si>
  <si>
    <t>NGOB/01/0490</t>
  </si>
  <si>
    <t>NGOB/01/0498</t>
  </si>
  <si>
    <t>NGOB/01/0480</t>
  </si>
  <si>
    <t>NGOB/01/0454</t>
  </si>
  <si>
    <t>NGOB/01/0455</t>
  </si>
  <si>
    <t>NGOB/01/0442</t>
  </si>
  <si>
    <t>NGOB/01/0444</t>
  </si>
  <si>
    <t>NGOB/01/0431</t>
  </si>
  <si>
    <t>NGOB/01/0357</t>
  </si>
  <si>
    <t>NGOB/01/0363</t>
  </si>
  <si>
    <t>NGOB/01/0304</t>
  </si>
  <si>
    <t>Conneting Unit</t>
  </si>
  <si>
    <t>NGOB/01/538</t>
  </si>
  <si>
    <t>Connecting unit</t>
  </si>
  <si>
    <t xml:space="preserve">Side Cabinet </t>
  </si>
  <si>
    <t>NGOB/01/0414</t>
  </si>
  <si>
    <t>Side cabinet</t>
  </si>
  <si>
    <t>Computer desk</t>
  </si>
  <si>
    <t>NGOB/01/0070</t>
  </si>
  <si>
    <t>computer desk</t>
  </si>
  <si>
    <t>NGOB/01/0264</t>
  </si>
  <si>
    <t>NGOB/01/0488</t>
  </si>
  <si>
    <t>NGOB/01/0318</t>
  </si>
  <si>
    <t>NGOB/01/0338</t>
  </si>
  <si>
    <t>Procurement ( Intern)</t>
  </si>
  <si>
    <t>NGOB/01/0122</t>
  </si>
  <si>
    <t>NGOB/01/0155</t>
  </si>
  <si>
    <t>computer desk with suspended drawers</t>
  </si>
  <si>
    <t>Scholastica Mutua</t>
  </si>
  <si>
    <t>NGOB/01/0153</t>
  </si>
  <si>
    <t>NGOB/01/0114</t>
  </si>
  <si>
    <t>Yvonne Wangui</t>
  </si>
  <si>
    <t>Extension Unit</t>
  </si>
  <si>
    <t>NGOB/01/0210</t>
  </si>
  <si>
    <t>Extension unit</t>
  </si>
  <si>
    <t>Side table</t>
  </si>
  <si>
    <t>NGOB/01/0145</t>
  </si>
  <si>
    <t>Side table with a Key board Tray</t>
  </si>
  <si>
    <t>NGOB/01/0309</t>
  </si>
  <si>
    <t>NGOB/01/0152</t>
  </si>
  <si>
    <t>NGOB/01/0141</t>
  </si>
  <si>
    <t>Benard Bwoma</t>
  </si>
  <si>
    <t>Mobile Pedestrial</t>
  </si>
  <si>
    <t>NGOB/01/0295</t>
  </si>
  <si>
    <t>3 Drawer</t>
  </si>
  <si>
    <t>Peter Ndale</t>
  </si>
  <si>
    <t>NGOB/01/0071</t>
  </si>
  <si>
    <t>NGOB/01/0050</t>
  </si>
  <si>
    <t>NGOB/01/0339</t>
  </si>
  <si>
    <t>2 Drawer</t>
  </si>
  <si>
    <t>Visitors Chair</t>
  </si>
  <si>
    <t>NGOB/01/0341</t>
  </si>
  <si>
    <t>Staking chair blue</t>
  </si>
  <si>
    <t>Matred Njambi</t>
  </si>
  <si>
    <t>NGOB/01/0530</t>
  </si>
  <si>
    <t>NGOB/01/0058</t>
  </si>
  <si>
    <t>NGOB/01/0464</t>
  </si>
  <si>
    <t>NGOB/01/0474</t>
  </si>
  <si>
    <t>Research departmnet</t>
  </si>
  <si>
    <t>NGOB/01/0283</t>
  </si>
  <si>
    <t>Executive chair</t>
  </si>
  <si>
    <t>NGOB/01/0046</t>
  </si>
  <si>
    <t>Conference desk</t>
  </si>
  <si>
    <t>NGOB/01/0251</t>
  </si>
  <si>
    <t>Cantilever</t>
  </si>
  <si>
    <t>NGOB/01/0411</t>
  </si>
  <si>
    <t>NGOB/01/0412</t>
  </si>
  <si>
    <t>NGOB/01/0413</t>
  </si>
  <si>
    <t>NGOB/01/0060</t>
  </si>
  <si>
    <t>NGOB/01/0410</t>
  </si>
  <si>
    <t>NGOB/01/0008</t>
  </si>
  <si>
    <t>Brian Aure</t>
  </si>
  <si>
    <t>NGOB/01/0248</t>
  </si>
  <si>
    <t>High back swivel chair</t>
  </si>
  <si>
    <t>NGOB/01/0355</t>
  </si>
  <si>
    <t>NGOB/01/0270</t>
  </si>
  <si>
    <t>NGOB/01/0441</t>
  </si>
  <si>
    <t>Office Furniture</t>
  </si>
  <si>
    <t>NGOB/01/0399</t>
  </si>
  <si>
    <t>Swing filing cabinet</t>
  </si>
  <si>
    <t>NGOB/01/0332</t>
  </si>
  <si>
    <t>filing cabinet with glass</t>
  </si>
  <si>
    <t>oblong coffee table 1.2M</t>
  </si>
  <si>
    <t>NGOB/01/0310</t>
  </si>
  <si>
    <t>Filling cabinet glass swing door</t>
  </si>
  <si>
    <t>NGOB/01/0311</t>
  </si>
  <si>
    <t>NGOB/01/0299</t>
  </si>
  <si>
    <t>NGOB/01/0265</t>
  </si>
  <si>
    <t>NGOB/01/0285</t>
  </si>
  <si>
    <t>NGOB/01/0416</t>
  </si>
  <si>
    <t>NGOB/01/0078</t>
  </si>
  <si>
    <t>Finance Office</t>
  </si>
  <si>
    <t>NGOB/01/0021</t>
  </si>
  <si>
    <t>Filling cabinet</t>
  </si>
  <si>
    <t>NGOB/01/0022</t>
  </si>
  <si>
    <t>NGOB/01/0330</t>
  </si>
  <si>
    <t>Filling cabinet metalic</t>
  </si>
  <si>
    <t>NGOB/01/0344</t>
  </si>
  <si>
    <t>Square coffee table</t>
  </si>
  <si>
    <t>NGOB/01/0328</t>
  </si>
  <si>
    <t>NGOB/01/0510</t>
  </si>
  <si>
    <t>Filling cabinet-open</t>
  </si>
  <si>
    <t>NGOB/01/0511</t>
  </si>
  <si>
    <t>NGOB/01/0512</t>
  </si>
  <si>
    <t>NGOB/01/0513</t>
  </si>
  <si>
    <t>NGOB/01/0514</t>
  </si>
  <si>
    <t>NGOB/01/0482</t>
  </si>
  <si>
    <t>Desk panel legged 0.9M</t>
  </si>
  <si>
    <t>NGOB/01/0146</t>
  </si>
  <si>
    <t>NGOB/01/0325</t>
  </si>
  <si>
    <t xml:space="preserve">T.V/Photocopier stand </t>
  </si>
  <si>
    <t>NGOB/01/0053</t>
  </si>
  <si>
    <t>filing cabinet  half glass</t>
  </si>
  <si>
    <t>NGOB/01/0134</t>
  </si>
  <si>
    <t>NGOB/01/0066</t>
  </si>
  <si>
    <t>NGOB/01/0079</t>
  </si>
  <si>
    <t>filing cabinet open</t>
  </si>
  <si>
    <t xml:space="preserve">David Njane </t>
  </si>
  <si>
    <t>Milano two seater</t>
  </si>
  <si>
    <t>Office desk</t>
  </si>
  <si>
    <t>NGOB/01/0376</t>
  </si>
  <si>
    <t>L-shape W/S 1.4</t>
  </si>
  <si>
    <t>NGOB/01/0112</t>
  </si>
  <si>
    <t>L -shape W/S 1.4m</t>
  </si>
  <si>
    <t>NGOB/01/0107</t>
  </si>
  <si>
    <t>NGOB/01/0358</t>
  </si>
  <si>
    <t>Abil Finance</t>
  </si>
  <si>
    <t>Mobile Drawer</t>
  </si>
  <si>
    <t>NGOB/01/0020</t>
  </si>
  <si>
    <t>Two drawers</t>
  </si>
  <si>
    <t>NGOB/01/0381</t>
  </si>
  <si>
    <t>NGOB/01/0104</t>
  </si>
  <si>
    <t>Registry</t>
  </si>
  <si>
    <t>NGOB/01/0319</t>
  </si>
  <si>
    <t>STRAIGHT WITH SUSPENDED DRAWERS 1.6M</t>
  </si>
  <si>
    <t>Straight desk with suspended three drawers 1.5M</t>
  </si>
  <si>
    <t xml:space="preserve">Stephen Kamande </t>
  </si>
  <si>
    <t>NGOB/01/0148</t>
  </si>
  <si>
    <t>STRAIGHT WITH SUSPENDED DRAWERS 1.4M</t>
  </si>
  <si>
    <t>ICT Intern</t>
  </si>
  <si>
    <t>NGOB/01/0459</t>
  </si>
  <si>
    <t>NGOB/01/0063</t>
  </si>
  <si>
    <t>NGOB/01/0062</t>
  </si>
  <si>
    <t>NGOB/01/0064</t>
  </si>
  <si>
    <t>NGOB/01/0135</t>
  </si>
  <si>
    <t>Kawira Mwongela</t>
  </si>
  <si>
    <t>NGOB/01/0102</t>
  </si>
  <si>
    <t>NGOB/01/0406</t>
  </si>
  <si>
    <t>Israel Komora</t>
  </si>
  <si>
    <t>NGOB/01/0277</t>
  </si>
  <si>
    <t>STRAIGHT WITH SUSPENDED DRAWERS 1.2M</t>
  </si>
  <si>
    <t>Brian Oure</t>
  </si>
  <si>
    <t>NGOB/01/0106</t>
  </si>
  <si>
    <t>Pollman Mongarora</t>
  </si>
  <si>
    <t>NGOB/01/0061</t>
  </si>
  <si>
    <t xml:space="preserve">Zilpah Angwenyi </t>
  </si>
  <si>
    <t>NGOB/01/0080</t>
  </si>
  <si>
    <t>NGOB/01/0333</t>
  </si>
  <si>
    <t>Metal legged Desk 1.4M</t>
  </si>
  <si>
    <t>Mokuah Arasa</t>
  </si>
  <si>
    <t>NGOB/01/0322</t>
  </si>
  <si>
    <t>Metal Legged Desk 1.4M</t>
  </si>
  <si>
    <t>NGOB/01/0281</t>
  </si>
  <si>
    <t>NGOB/01/0293</t>
  </si>
  <si>
    <t>NGOB/01/0423</t>
  </si>
  <si>
    <t xml:space="preserve">Black Mesh visitors chair with Fabric Seat &amp; chrome support </t>
  </si>
  <si>
    <t>NGOB/01/0405</t>
  </si>
  <si>
    <t xml:space="preserve">Medium Swivel back Coloured (Green) </t>
  </si>
  <si>
    <t>NGOB/01/0466</t>
  </si>
  <si>
    <t>NGOB/01/0462</t>
  </si>
  <si>
    <t>NGOB/01/0364</t>
  </si>
  <si>
    <t xml:space="preserve">Zilpah </t>
  </si>
  <si>
    <t>NGOB/01/0366</t>
  </si>
  <si>
    <t>Aisha</t>
  </si>
  <si>
    <t>NGOB/01/0456</t>
  </si>
  <si>
    <t>NGOB/01/0391</t>
  </si>
  <si>
    <t>Staking chair Blue</t>
  </si>
  <si>
    <t>NGOB/01/0469</t>
  </si>
  <si>
    <t>Zulekha Siyat</t>
  </si>
  <si>
    <t>NGOB/01/0317</t>
  </si>
  <si>
    <t>Staking chair Purple</t>
  </si>
  <si>
    <t>NGOB/01/0269</t>
  </si>
  <si>
    <t>Staking chair Green</t>
  </si>
  <si>
    <t>NGOB/01/0324</t>
  </si>
  <si>
    <t>Executive Desk</t>
  </si>
  <si>
    <t>NGOB/01/0501</t>
  </si>
  <si>
    <t>Executive Office Table  2.1*1.9*0.75</t>
  </si>
  <si>
    <t>Chairman Office</t>
  </si>
  <si>
    <t>Executive Chair</t>
  </si>
  <si>
    <t>NGOB/01/0502</t>
  </si>
  <si>
    <t>Executive H. Back Orthopedic Chair</t>
  </si>
  <si>
    <t xml:space="preserve">Visitors Chair </t>
  </si>
  <si>
    <t>NGOB/01/0503</t>
  </si>
  <si>
    <t>Low Back Full Mesh Visitors Chair</t>
  </si>
  <si>
    <t>NGOB/01/0504</t>
  </si>
  <si>
    <t>NGOB/01/0508</t>
  </si>
  <si>
    <t>Meshed Visitors chair</t>
  </si>
  <si>
    <t>Executive Table</t>
  </si>
  <si>
    <t>NGOB/01/0509</t>
  </si>
  <si>
    <t>Executive Coffee Table 1.2m</t>
  </si>
  <si>
    <t>Executive Sofa set</t>
  </si>
  <si>
    <t>NGOB/01/0507</t>
  </si>
  <si>
    <t xml:space="preserve">3 and 1 Seater Genuine Letter, Green </t>
  </si>
  <si>
    <t>NGOB/01/0001</t>
  </si>
  <si>
    <t>F. Presidential suite</t>
  </si>
  <si>
    <t>NGOB/01/0002</t>
  </si>
  <si>
    <t>M. Pedestal-3drawer</t>
  </si>
  <si>
    <t>NGOB/01/0004</t>
  </si>
  <si>
    <t>High cabinet</t>
  </si>
  <si>
    <t>NGOB/01/0005</t>
  </si>
  <si>
    <t xml:space="preserve">Wadrobe </t>
  </si>
  <si>
    <t>NGOB/01/0003</t>
  </si>
  <si>
    <t>High Back Orthopeadic Chair</t>
  </si>
  <si>
    <t>NGOB/01/0010</t>
  </si>
  <si>
    <t>C.tilever v.chair-Leaver</t>
  </si>
  <si>
    <t>NGOB/01/0011</t>
  </si>
  <si>
    <t>NGOB/01/0013</t>
  </si>
  <si>
    <t>Visitors Leather Sofa Set - 5 Seater</t>
  </si>
  <si>
    <t>NGOB/01/0014</t>
  </si>
  <si>
    <t>Visiors 100% Genuine Leather Sofa set -1 Seater , Brown</t>
  </si>
  <si>
    <t>NGOB/01/015</t>
  </si>
  <si>
    <t>Visiors 100% Genuine Leather Sofa set -3 Seater , Brown</t>
  </si>
  <si>
    <t>NGOB/01/0275</t>
  </si>
  <si>
    <t>NGOB/01/0287</t>
  </si>
  <si>
    <t>Black Visitors chair with armrest</t>
  </si>
  <si>
    <t>NGOB/01/0276</t>
  </si>
  <si>
    <t>NGOB/01/347</t>
  </si>
  <si>
    <t>Joyce Nasiala</t>
  </si>
  <si>
    <t>NGOB/01/0349</t>
  </si>
  <si>
    <t>NGOB/01/514</t>
  </si>
  <si>
    <t>Wooden Filling cabinet with glass</t>
  </si>
  <si>
    <t>19/10/2009</t>
  </si>
  <si>
    <t>NGOB/01/513</t>
  </si>
  <si>
    <t xml:space="preserve">Open Wooden Filling cabinet </t>
  </si>
  <si>
    <t>NGOB/01/512</t>
  </si>
  <si>
    <t>NGOB/01/511</t>
  </si>
  <si>
    <t>NGOB/01/510</t>
  </si>
  <si>
    <t>Book shelve with half glass grey</t>
  </si>
  <si>
    <t>NGOB/01/515</t>
  </si>
  <si>
    <t>D-Desk panel legged 1.6M</t>
  </si>
  <si>
    <t>D-conference table 6pax</t>
  </si>
  <si>
    <t>NGOB/01/0335</t>
  </si>
  <si>
    <t>High Back, fabric seat with mesh back &amp; head rest  chair</t>
  </si>
  <si>
    <t>NGOB/01/0400</t>
  </si>
  <si>
    <t>NGOB/02/00403</t>
  </si>
  <si>
    <t>NGOB/01/0109</t>
  </si>
  <si>
    <t>NGOB/01/0282</t>
  </si>
  <si>
    <t>NGOB/01/0274</t>
  </si>
  <si>
    <t>NGOB/01/0345</t>
  </si>
  <si>
    <t>NGOB/01/0421</t>
  </si>
  <si>
    <t>NGOB/01/0478</t>
  </si>
  <si>
    <t>Bernadict Nzomo</t>
  </si>
  <si>
    <t>NGOB/01/0073</t>
  </si>
  <si>
    <t xml:space="preserve">                                                                                                  </t>
  </si>
  <si>
    <t>NGOB/01/0465</t>
  </si>
  <si>
    <t>NGOB/01/0467</t>
  </si>
  <si>
    <t>NGOB/01/0025</t>
  </si>
  <si>
    <t>NGOB/01/0395</t>
  </si>
  <si>
    <t>NGOB/01/0477</t>
  </si>
  <si>
    <t>Stephen Munyoncho</t>
  </si>
  <si>
    <t>NGOB/01/0526</t>
  </si>
  <si>
    <t>NGOB/01/0428</t>
  </si>
  <si>
    <t>NGOB/01/0206</t>
  </si>
  <si>
    <t>NGOB/01/0438</t>
  </si>
  <si>
    <t>Vitalis Noah</t>
  </si>
  <si>
    <t>NGOB/01/0497</t>
  </si>
  <si>
    <t>NGOB/01/0393</t>
  </si>
  <si>
    <t>NGOB/01/0394</t>
  </si>
  <si>
    <t>NGOB/01/0401</t>
  </si>
  <si>
    <t>NGOB/01/0402</t>
  </si>
  <si>
    <t>NGOB/01/0404</t>
  </si>
  <si>
    <t>NGOB/01/0415</t>
  </si>
  <si>
    <t>NGOB/01/0491</t>
  </si>
  <si>
    <t>NGOB/01/0499</t>
  </si>
  <si>
    <t>NGOB/01/0479</t>
  </si>
  <si>
    <t>NGOB/01/0475</t>
  </si>
  <si>
    <t>NGOB/01/0427</t>
  </si>
  <si>
    <t>NGOB/01/0528</t>
  </si>
  <si>
    <t>NGOB/01/0449</t>
  </si>
  <si>
    <t>NGOB/01/0450</t>
  </si>
  <si>
    <t>NGOB/01/0451</t>
  </si>
  <si>
    <t>NGOB/01/0453</t>
  </si>
  <si>
    <t>NGOB/01/0452</t>
  </si>
  <si>
    <t>NGOB/01/0440</t>
  </si>
  <si>
    <t>S-Maestro chair with a vibrator</t>
  </si>
  <si>
    <t>NGOB/01/0435</t>
  </si>
  <si>
    <t>Judy Njeru</t>
  </si>
  <si>
    <t>NGOB/01/0320</t>
  </si>
  <si>
    <t>Office Table</t>
  </si>
  <si>
    <t>NGOB/01/0030</t>
  </si>
  <si>
    <t>Conference Table</t>
  </si>
  <si>
    <t>Boardroom</t>
  </si>
  <si>
    <t>NGOB/01/</t>
  </si>
  <si>
    <t xml:space="preserve"> Confrence Chair</t>
  </si>
  <si>
    <t>NGOB/01/0044</t>
  </si>
  <si>
    <t>NGOB/01/0375</t>
  </si>
  <si>
    <t>NGOB/01/0035</t>
  </si>
  <si>
    <t>NGOB/01/0034</t>
  </si>
  <si>
    <t>NGOB/01/0307</t>
  </si>
  <si>
    <t>NGOB/01/0041</t>
  </si>
  <si>
    <t>NGOB/01/0043</t>
  </si>
  <si>
    <t>NGOB/01/0031</t>
  </si>
  <si>
    <t>NGOB/01/0045</t>
  </si>
  <si>
    <t>NGOB/01/0484</t>
  </si>
  <si>
    <t>NGOB/01/0483</t>
  </si>
  <si>
    <t>NGOB/01/0520</t>
  </si>
  <si>
    <t>NGOB/01/0426</t>
  </si>
  <si>
    <t>Boardroom red Carpet</t>
  </si>
  <si>
    <t>NGOB/01/0553</t>
  </si>
  <si>
    <t>3 drawer wooden</t>
  </si>
  <si>
    <t>NGOB/01/0554</t>
  </si>
  <si>
    <t>NGOB/01/0555</t>
  </si>
  <si>
    <t>2 drawer wooden</t>
  </si>
  <si>
    <t>NGOB/01/0556</t>
  </si>
  <si>
    <t>NGOB/01/0557</t>
  </si>
  <si>
    <t>Meshed visitors chair</t>
  </si>
  <si>
    <t>NGOB/01/0558</t>
  </si>
  <si>
    <t>NGOB/01/0559</t>
  </si>
  <si>
    <t>NGOB/01/0560</t>
  </si>
  <si>
    <t>NGOB/01/0561</t>
  </si>
  <si>
    <t>NGOB/01/0562</t>
  </si>
  <si>
    <t>NGOB/01/0563</t>
  </si>
  <si>
    <t>High back meshed staff chair</t>
  </si>
  <si>
    <t>NGOB/01/0564</t>
  </si>
  <si>
    <t>NGOB/01/0565</t>
  </si>
  <si>
    <t>NGOB/01/0566</t>
  </si>
  <si>
    <t>Straight desk</t>
  </si>
  <si>
    <t>NGOB/01/0567</t>
  </si>
  <si>
    <t>NGOB/01/0568</t>
  </si>
  <si>
    <t>Stand alone 3 drawer</t>
  </si>
  <si>
    <t>NGOB/01/0569</t>
  </si>
  <si>
    <t>NGOB/01/0570</t>
  </si>
  <si>
    <t>Visitors meshed chair</t>
  </si>
  <si>
    <t>NGOB/01/0571</t>
  </si>
  <si>
    <t>NGOB/01/0573</t>
  </si>
  <si>
    <t>Work station</t>
  </si>
  <si>
    <t>NGOB/01/0574</t>
  </si>
  <si>
    <t>High back staff chair</t>
  </si>
  <si>
    <t>NGOB/01/0575</t>
  </si>
  <si>
    <t>NGOB/01/0551</t>
  </si>
  <si>
    <t>NGOB/01/0234</t>
  </si>
  <si>
    <t>Staff seat</t>
  </si>
  <si>
    <t>NGOB/01/0235</t>
  </si>
  <si>
    <t>Reception Desk</t>
  </si>
  <si>
    <t>NGOB/01/0236</t>
  </si>
  <si>
    <t>NGOB/01/0237</t>
  </si>
  <si>
    <t>NGOB/01/0240</t>
  </si>
  <si>
    <t xml:space="preserve">Office desk </t>
  </si>
  <si>
    <t>NGOB/01/0239</t>
  </si>
  <si>
    <t>Office desk drawer</t>
  </si>
  <si>
    <t>NGOB/01/0572</t>
  </si>
  <si>
    <t>NGOB/01/0242</t>
  </si>
  <si>
    <t>NGOB/01/0243</t>
  </si>
  <si>
    <t>NGOB/01/0244</t>
  </si>
  <si>
    <t>NGOB/01/0246</t>
  </si>
  <si>
    <t>NGOB/01/0211</t>
  </si>
  <si>
    <t>22/04/2010</t>
  </si>
  <si>
    <t>NGOB/01/0212</t>
  </si>
  <si>
    <t>Conference table</t>
  </si>
  <si>
    <t>NGOB/01/0213</t>
  </si>
  <si>
    <t>Coffee table</t>
  </si>
  <si>
    <t>NGOB/01/0214</t>
  </si>
  <si>
    <t>NGOB/01/0588</t>
  </si>
  <si>
    <t>NGOB/01/0218</t>
  </si>
  <si>
    <t>straight office desk</t>
  </si>
  <si>
    <t>NGOB/01/0576</t>
  </si>
  <si>
    <t>Visitors chair with arms</t>
  </si>
  <si>
    <t>NGOB/01/0577</t>
  </si>
  <si>
    <t>NGOB/01/0578</t>
  </si>
  <si>
    <t>NGOB/01/0586</t>
  </si>
  <si>
    <t>NGOB/01/0587</t>
  </si>
  <si>
    <t>NGOB/01/0579</t>
  </si>
  <si>
    <t>Visitors chair without arms</t>
  </si>
  <si>
    <t>NGOB/01/0580</t>
  </si>
  <si>
    <t>NGOB/01/0581</t>
  </si>
  <si>
    <t>NGOB/01/0582</t>
  </si>
  <si>
    <t>NGOB/01/0583</t>
  </si>
  <si>
    <t>NGOB/01/0584</t>
  </si>
  <si>
    <t>NGOB/01/0585</t>
  </si>
  <si>
    <t>NGOB/01/0589</t>
  </si>
  <si>
    <t>Maestro chair</t>
  </si>
  <si>
    <t>NGOB/01/0590</t>
  </si>
  <si>
    <t>NGOB/01/0592</t>
  </si>
  <si>
    <t>NGOB/01/0229</t>
  </si>
  <si>
    <t>Chess drawer</t>
  </si>
  <si>
    <t>NGOB/01/0228</t>
  </si>
  <si>
    <t>Metalic cabinet</t>
  </si>
  <si>
    <t>NGOB/01/0227</t>
  </si>
  <si>
    <t>NGOB/01/0226</t>
  </si>
  <si>
    <t>NGOB/01/0222</t>
  </si>
  <si>
    <t>Wooden cabinets</t>
  </si>
  <si>
    <t>NGOB/01/0224</t>
  </si>
  <si>
    <t>NGOB/01/05970</t>
  </si>
  <si>
    <t>NGOB/01/0160</t>
  </si>
  <si>
    <t>NGOB/01/0161</t>
  </si>
  <si>
    <t>NGOB/01/0162</t>
  </si>
  <si>
    <t>NGOB/01/0596</t>
  </si>
  <si>
    <t>NGOB/01/0598</t>
  </si>
  <si>
    <t>NGOB/01/0165</t>
  </si>
  <si>
    <t>NGOB/01/0166</t>
  </si>
  <si>
    <t>NGOB/01/0601</t>
  </si>
  <si>
    <t>NGOB/01/0602</t>
  </si>
  <si>
    <t>NGOB/01/0173</t>
  </si>
  <si>
    <t>Wooden table</t>
  </si>
  <si>
    <t>NGOB/01/0174</t>
  </si>
  <si>
    <t>NGOB/01/0175</t>
  </si>
  <si>
    <t>NGOB/01/0176</t>
  </si>
  <si>
    <t>Metalic table</t>
  </si>
  <si>
    <t>NGOB/01/0177</t>
  </si>
  <si>
    <t>NGOB/01/0178</t>
  </si>
  <si>
    <t>NGOB/01/0179</t>
  </si>
  <si>
    <t>NGOB/01/0180</t>
  </si>
  <si>
    <t>Chest Drawers</t>
  </si>
  <si>
    <t>NGOB/01/0181</t>
  </si>
  <si>
    <t>NGOB/01/0182</t>
  </si>
  <si>
    <t>NGOB/01/0183</t>
  </si>
  <si>
    <t>NGOB/01/0184</t>
  </si>
  <si>
    <t>NGOB/01/0185</t>
  </si>
  <si>
    <t>NGOB/01/0186</t>
  </si>
  <si>
    <t>Metalic drawers</t>
  </si>
  <si>
    <t>NGOB/01/0190</t>
  </si>
  <si>
    <t>NGOB/01/0191</t>
  </si>
  <si>
    <t>NGOB/01/0192</t>
  </si>
  <si>
    <t>NGOB/01/0193</t>
  </si>
  <si>
    <t>NGOB/01/0194</t>
  </si>
  <si>
    <t>NGOB/01/0195</t>
  </si>
  <si>
    <t>NGOB/01/0196</t>
  </si>
  <si>
    <t>Visitors chair</t>
  </si>
  <si>
    <t>NGOB/01/0197</t>
  </si>
  <si>
    <t>NGOB/01/0198</t>
  </si>
  <si>
    <t>NGOB/01/0199</t>
  </si>
  <si>
    <t>NGOB/01/0200</t>
  </si>
  <si>
    <t>Office Fittings</t>
  </si>
  <si>
    <t>N//A</t>
  </si>
  <si>
    <t>Office Partitioning</t>
  </si>
  <si>
    <t xml:space="preserve"> Plant &amp; Machinery</t>
  </si>
  <si>
    <t xml:space="preserve">Portable &amp;attractive items </t>
  </si>
  <si>
    <t>     Intangible Assets Register</t>
  </si>
  <si>
    <t>Asset description/ Nature of asset</t>
  </si>
  <si>
    <t>Document of ownership</t>
  </si>
  <si>
    <t>Acquired from</t>
  </si>
  <si>
    <t>Cost/ Fair value</t>
  </si>
  <si>
    <t>Useful life</t>
  </si>
  <si>
    <t>Annual depreciation/armotisation</t>
  </si>
  <si>
    <t>Accumulated depreciation/armotisation</t>
  </si>
  <si>
    <t>Eset Antivirus</t>
  </si>
  <si>
    <t>PBORA-Key</t>
  </si>
  <si>
    <t>Comtech Limited</t>
  </si>
  <si>
    <t>One Year</t>
  </si>
  <si>
    <t>Google Emails</t>
  </si>
  <si>
    <t>Contract</t>
  </si>
  <si>
    <t>Cloud IT Limited</t>
  </si>
  <si>
    <t>Internet</t>
  </si>
  <si>
    <t>Dimension Data Solutions (E.A) Limited</t>
  </si>
  <si>
    <t>TOTAL</t>
  </si>
  <si>
    <t>Stocks/ Consumables Register</t>
  </si>
  <si>
    <t>Description of inventory item</t>
  </si>
  <si>
    <t>Unit e.g piece, Kgs, etc.</t>
  </si>
  <si>
    <t xml:space="preserve"> Quantity </t>
  </si>
  <si>
    <t>Unit+E3:F22 cost</t>
  </si>
  <si>
    <t>Total Cost</t>
  </si>
  <si>
    <t>PIECES</t>
  </si>
  <si>
    <t>STAPLE REMOVER</t>
  </si>
  <si>
    <t>GLUE PASTE</t>
  </si>
  <si>
    <t>DOZENS</t>
  </si>
  <si>
    <t>PAPER PUNCH</t>
  </si>
  <si>
    <t>ENVELOPES A5</t>
  </si>
  <si>
    <t>PHOTOCOPYING PAPERS</t>
  </si>
  <si>
    <t>REGISTRATION FORMS(Form 2)</t>
  </si>
  <si>
    <t>REAMS</t>
  </si>
  <si>
    <t>REGISTRATION FORMS(Form 3)</t>
  </si>
  <si>
    <t>TONER NO 05A</t>
  </si>
  <si>
    <t>TONER NO 310</t>
  </si>
  <si>
    <t>TONER NO 311</t>
  </si>
  <si>
    <t>TONER NO 312</t>
  </si>
  <si>
    <t>TONER NO 313</t>
  </si>
  <si>
    <t>TONER NO TK-475</t>
  </si>
  <si>
    <t>BIC BIROS</t>
  </si>
  <si>
    <t>PACKETS</t>
  </si>
  <si>
    <t>STAPLERS PINS</t>
  </si>
  <si>
    <t>HIGHLIGHTERS</t>
  </si>
  <si>
    <t xml:space="preserve">STAPLERS </t>
  </si>
  <si>
    <t>TOTALS</t>
  </si>
  <si>
    <r>
      <rPr>
        <sz val="7"/>
        <color rgb="FF2E74B5"/>
        <rFont val="Times New Roman"/>
        <family val="1"/>
      </rPr>
      <t xml:space="preserve">   </t>
    </r>
    <r>
      <rPr>
        <sz val="13"/>
        <color rgb="FF2E74B5"/>
        <rFont val="Calibri Light"/>
        <family val="2"/>
      </rPr>
      <t xml:space="preserve">Railways Register </t>
    </r>
  </si>
  <si>
    <t>Railway description</t>
  </si>
  <si>
    <t>Railway ID</t>
  </si>
  <si>
    <t>Length (Kms)</t>
  </si>
  <si>
    <t>Date of commissioning</t>
  </si>
  <si>
    <t>Type of rail</t>
  </si>
  <si>
    <t>Amenities available</t>
  </si>
  <si>
    <t>Land registry ID</t>
  </si>
  <si>
    <t>Cost</t>
  </si>
  <si>
    <r>
      <rPr>
        <sz val="7"/>
        <color rgb="FF2E74B5"/>
        <rFont val="Times New Roman"/>
        <family val="1"/>
      </rPr>
      <t xml:space="preserve">    </t>
    </r>
    <r>
      <rPr>
        <sz val="13"/>
        <color rgb="FF2E74B5"/>
        <rFont val="Calibri Light"/>
        <family val="2"/>
      </rPr>
      <t>Roads Infrastructure Register</t>
    </r>
  </si>
  <si>
    <t>Road description</t>
  </si>
  <si>
    <t>Road ID</t>
  </si>
  <si>
    <t>Type of road e.g. bitumen, earth etc.</t>
  </si>
  <si>
    <t>Class of road e.g. A,B,C,D etc.</t>
  </si>
  <si>
    <t>Mode of funding e.g PPP, GoK, external funding etc.</t>
  </si>
  <si>
    <t>Other Infrastructure Register</t>
  </si>
  <si>
    <t>Length (if applicable)</t>
  </si>
  <si>
    <t>Size (e.g. area, production capacity etc.)</t>
  </si>
  <si>
    <t>Date installation/ Commissioning</t>
  </si>
  <si>
    <t>Installation amount</t>
  </si>
  <si>
    <r>
      <rPr>
        <sz val="7"/>
        <color rgb="FF2E74B5"/>
        <rFont val="Times New Roman"/>
        <family val="1"/>
      </rPr>
      <t xml:space="preserve">      </t>
    </r>
    <r>
      <rPr>
        <sz val="13"/>
        <color rgb="FF2E74B5"/>
        <rFont val="Calibri Light"/>
        <family val="2"/>
      </rPr>
      <t>Biological Assets Register</t>
    </r>
  </si>
  <si>
    <t>Asset description</t>
  </si>
  <si>
    <t>Category of asset</t>
  </si>
  <si>
    <t>Unit of measurement (Pieces, acreage etc)</t>
  </si>
  <si>
    <t>Quantity</t>
  </si>
  <si>
    <t>Unit cost</t>
  </si>
  <si>
    <t>Fair value</t>
  </si>
  <si>
    <t>Useful life of the assets</t>
  </si>
  <si>
    <r>
      <rPr>
        <sz val="7"/>
        <color rgb="FF2E74B5"/>
        <rFont val="Times New Roman"/>
        <family val="1"/>
      </rPr>
      <t xml:space="preserve">     </t>
    </r>
    <r>
      <rPr>
        <sz val="13"/>
        <color rgb="FF2E74B5"/>
        <rFont val="Calibri Light"/>
        <family val="2"/>
      </rPr>
      <t>Subsoil Assets Register</t>
    </r>
  </si>
  <si>
    <t>Mineral type (Diamond, gold, copper etc)</t>
  </si>
  <si>
    <t>Monetary value</t>
  </si>
  <si>
    <t>Opening quantity</t>
  </si>
  <si>
    <t>Additions</t>
  </si>
  <si>
    <t>Closing quantities</t>
  </si>
  <si>
    <t>Opening balance</t>
  </si>
  <si>
    <t>Closing balance</t>
  </si>
  <si>
    <r>
      <rPr>
        <sz val="7"/>
        <color rgb="FF2E74B5"/>
        <rFont val="Times New Roman"/>
        <family val="1"/>
      </rPr>
      <t xml:space="preserve">  </t>
    </r>
    <r>
      <rPr>
        <sz val="13"/>
        <color rgb="FF2E74B5"/>
        <rFont val="Calibri Light"/>
        <family val="2"/>
      </rPr>
      <t>Major Maintenance Register</t>
    </r>
  </si>
  <si>
    <t>Asset</t>
  </si>
  <si>
    <t>Asset Category</t>
  </si>
  <si>
    <t>Location of asset</t>
  </si>
  <si>
    <t>Start Date</t>
  </si>
  <si>
    <t>Expected date of completion</t>
  </si>
  <si>
    <t>Amount spent to date</t>
  </si>
  <si>
    <t>Date of transfer to asset category</t>
  </si>
  <si>
    <t>Amount transferred to asset category</t>
  </si>
  <si>
    <t>Amount expensed</t>
  </si>
  <si>
    <r>
      <rPr>
        <sz val="7"/>
        <color rgb="FF2E74B5"/>
        <rFont val="Times New Roman"/>
        <family val="1"/>
      </rPr>
      <t xml:space="preserve">      </t>
    </r>
    <r>
      <rPr>
        <sz val="13"/>
        <color rgb="FF2E74B5"/>
        <rFont val="Calibri Light"/>
        <family val="2"/>
      </rPr>
      <t>Work In Progress Register</t>
    </r>
  </si>
  <si>
    <t>Percentage of completion</t>
  </si>
  <si>
    <t>Commitment in next financial year</t>
  </si>
  <si>
    <t>Commitment beyond next financial year</t>
  </si>
  <si>
    <t>Class of assets transferred to</t>
  </si>
  <si>
    <t>Date of transfer</t>
  </si>
  <si>
    <t>Amount of WIP transferred</t>
  </si>
  <si>
    <t>Balance of WIP</t>
  </si>
  <si>
    <r>
      <rPr>
        <sz val="7"/>
        <color rgb="FF2E74B5"/>
        <rFont val="Times New Roman"/>
        <family val="1"/>
      </rPr>
      <t xml:space="preserve"> I</t>
    </r>
    <r>
      <rPr>
        <sz val="13"/>
        <color rgb="FF2E74B5"/>
        <rFont val="Calibri Light"/>
        <family val="2"/>
      </rPr>
      <t>nvestments Register (For Investments Other Than Investment Property)</t>
    </r>
  </si>
  <si>
    <t>Nature/ type of investments</t>
  </si>
  <si>
    <t>Institution investment held</t>
  </si>
  <si>
    <t>Date of investment</t>
  </si>
  <si>
    <t>Maturity date</t>
  </si>
  <si>
    <t>Term/ duration of investment</t>
  </si>
  <si>
    <t>Interest rate applicable to the investment</t>
  </si>
  <si>
    <t>Unit Cost</t>
  </si>
  <si>
    <t>Initial cost of purchase</t>
  </si>
  <si>
    <t>Expected interest due on maturity</t>
  </si>
  <si>
    <t>Maturity value</t>
  </si>
  <si>
    <t>Name and signature of the officer or employee placing the investment</t>
  </si>
  <si>
    <r>
      <rPr>
        <sz val="7"/>
        <color rgb="FF2E74B5"/>
        <rFont val="Times New Roman"/>
        <family val="1"/>
      </rPr>
      <t xml:space="preserve">    </t>
    </r>
    <r>
      <rPr>
        <sz val="13"/>
        <color rgb="FF2E74B5"/>
        <rFont val="Calibri Light"/>
        <family val="2"/>
      </rPr>
      <t xml:space="preserve">Cash Register </t>
    </r>
  </si>
  <si>
    <t>Type of float/ Description</t>
  </si>
  <si>
    <t>Currency</t>
  </si>
  <si>
    <t>Source of Funds</t>
  </si>
  <si>
    <t>Balance Kshs</t>
  </si>
  <si>
    <t>Comments</t>
  </si>
  <si>
    <t xml:space="preserve">We don’t handle cash </t>
  </si>
  <si>
    <r>
      <rPr>
        <sz val="7"/>
        <color theme="1"/>
        <rFont val="Times New Roman"/>
        <family val="1"/>
      </rPr>
      <t xml:space="preserve">   </t>
    </r>
    <r>
      <rPr>
        <sz val="13"/>
        <color theme="1"/>
        <rFont val="Calibri Light"/>
        <family val="2"/>
      </rPr>
      <t xml:space="preserve">Bank Register </t>
    </r>
  </si>
  <si>
    <t>Account name</t>
  </si>
  <si>
    <t>Account Number</t>
  </si>
  <si>
    <t>Type of Account e.g. fixed, current, savings etc.</t>
  </si>
  <si>
    <t>Name of Bank</t>
  </si>
  <si>
    <t>Bank signatories</t>
  </si>
  <si>
    <t>PUBLIC BENEFIT ORGANIZATIONS REGULATORY AUTHORITY</t>
  </si>
  <si>
    <t>01136030582100</t>
  </si>
  <si>
    <t>Kes</t>
  </si>
  <si>
    <t>executive Current</t>
  </si>
  <si>
    <t xml:space="preserve">Co-operative bank </t>
  </si>
  <si>
    <t>G.O.K</t>
  </si>
  <si>
    <t>Executive Director, Director of Operations and Finance Manager</t>
  </si>
  <si>
    <t>01136030582101</t>
  </si>
  <si>
    <t xml:space="preserve">project account </t>
  </si>
  <si>
    <t>Collaborations</t>
  </si>
  <si>
    <t>01136030582102</t>
  </si>
  <si>
    <t xml:space="preserve">revenue account </t>
  </si>
  <si>
    <t xml:space="preserve">Internally Genereted </t>
  </si>
  <si>
    <t>1770279085801</t>
  </si>
  <si>
    <t>Current</t>
  </si>
  <si>
    <t>Equity Bank</t>
  </si>
  <si>
    <t>0051095178002</t>
  </si>
  <si>
    <t>SBM Bank</t>
  </si>
  <si>
    <r>
      <rPr>
        <sz val="7"/>
        <color rgb="FF2E74B5"/>
        <rFont val="Times New Roman"/>
        <family val="1"/>
      </rPr>
      <t xml:space="preserve">    </t>
    </r>
    <r>
      <rPr>
        <sz val="13"/>
        <color rgb="FF2E74B5"/>
        <rFont val="Calibri Light"/>
        <family val="2"/>
      </rPr>
      <t>Loans Receivable Register</t>
    </r>
  </si>
  <si>
    <t>Entity lent</t>
  </si>
  <si>
    <t>Location of the loan agreement or other supporting documentation, for example, the file</t>
  </si>
  <si>
    <t>Effective date of lending</t>
  </si>
  <si>
    <t>Loan duration</t>
  </si>
  <si>
    <t>Purpose of loan</t>
  </si>
  <si>
    <t>Interest rate (%)</t>
  </si>
  <si>
    <t>Currency of lending</t>
  </si>
  <si>
    <t>Conversion Rate</t>
  </si>
  <si>
    <t xml:space="preserve"> Amount lent in original currency </t>
  </si>
  <si>
    <t>Amount lent in Kshs</t>
  </si>
  <si>
    <t>Actual amounts disbursed to date Kshs</t>
  </si>
  <si>
    <t>Interest  receivable Kshs</t>
  </si>
  <si>
    <t>Other charges Kshs</t>
  </si>
  <si>
    <t>Total receivable Kshs</t>
  </si>
  <si>
    <t>Amount Repaid Kshs</t>
  </si>
  <si>
    <t>Amount Outstanding Kshs</t>
  </si>
  <si>
    <r>
      <rPr>
        <sz val="7"/>
        <color rgb="FF2E74B5"/>
        <rFont val="Times New Roman"/>
        <family val="1"/>
      </rPr>
      <t xml:space="preserve">  </t>
    </r>
    <r>
      <rPr>
        <sz val="13"/>
        <color rgb="FF2E74B5"/>
        <rFont val="Calibri Light"/>
        <family val="2"/>
      </rPr>
      <t>Accounts Receivables Register</t>
    </r>
  </si>
  <si>
    <t>Name of Customer</t>
  </si>
  <si>
    <t>Items supplied</t>
  </si>
  <si>
    <t>Department supplied</t>
  </si>
  <si>
    <t>Amount receivable Kshs</t>
  </si>
  <si>
    <t>Due date of receipt</t>
  </si>
  <si>
    <t>Number of days outstanding</t>
  </si>
  <si>
    <r>
      <rPr>
        <sz val="7"/>
        <color rgb="FFFF0000"/>
        <rFont val="Times New Roman"/>
        <family val="1"/>
      </rPr>
      <t xml:space="preserve"> </t>
    </r>
    <r>
      <rPr>
        <sz val="13"/>
        <color rgb="FFFF0000"/>
        <rFont val="Calibri Light"/>
        <family val="2"/>
      </rPr>
      <t>Other Receivables Register</t>
    </r>
  </si>
  <si>
    <t>Nature of receivable</t>
  </si>
  <si>
    <t>Staff Personal number (where applicable)</t>
  </si>
  <si>
    <t>Department</t>
  </si>
  <si>
    <t>Salary Advance</t>
  </si>
  <si>
    <t xml:space="preserve">MR. KIRIMA TONY MUTHURI </t>
  </si>
  <si>
    <t xml:space="preserve">Staff Debtor </t>
  </si>
  <si>
    <t>HR</t>
  </si>
  <si>
    <t>Dr. Laxmana P.Kiptoo</t>
  </si>
  <si>
    <t>Monthly Basis</t>
  </si>
  <si>
    <t>Deducted on monthly Basis</t>
  </si>
  <si>
    <t>MR. KASHOKA NG`ANG`A ALLAN</t>
  </si>
  <si>
    <t>FINANCE</t>
  </si>
  <si>
    <t xml:space="preserve">MR. NJOROGE WAITHAKA ERIC </t>
  </si>
  <si>
    <t>Operation</t>
  </si>
  <si>
    <t>MR. LETOLUO SANKALE NICK</t>
  </si>
  <si>
    <t>MISS. YIAILE NAISIALA JOYCE</t>
  </si>
  <si>
    <t>Corporate</t>
  </si>
  <si>
    <t>MISS. AMBUNDO ISICHI YVONNE</t>
  </si>
  <si>
    <t>RESEARCH</t>
  </si>
  <si>
    <t>MR. KIROP CHESOS RICHARD</t>
  </si>
  <si>
    <t>PR</t>
  </si>
  <si>
    <t>MR. ABDULLAHI MUKTAR MOHAMED</t>
  </si>
  <si>
    <t xml:space="preserve">MRS. ODETE CLAIRE ADERA BERYL </t>
  </si>
  <si>
    <t>MRS. ACHOLA ANYIRI CATHERINE</t>
  </si>
  <si>
    <t>MR. BUYA KOMORA ISRAEL</t>
  </si>
  <si>
    <t>ADMINISTRATION</t>
  </si>
  <si>
    <t xml:space="preserve">MR. CRISPUS MWENDA MUREGA </t>
  </si>
  <si>
    <t>MISS. OLOO ACHIENG` SARAH</t>
  </si>
  <si>
    <r>
      <rPr>
        <sz val="7"/>
        <color rgb="FFFF0000"/>
        <rFont val="Times New Roman"/>
        <family val="1"/>
      </rPr>
      <t xml:space="preserve">     </t>
    </r>
    <r>
      <rPr>
        <sz val="13"/>
        <color rgb="FFFF0000"/>
        <rFont val="Calibri Light"/>
        <family val="2"/>
      </rPr>
      <t>Imprest Register</t>
    </r>
  </si>
  <si>
    <t>Staff name</t>
  </si>
  <si>
    <t xml:space="preserve">Staff Personal number </t>
  </si>
  <si>
    <t>Imprest warrant No.</t>
  </si>
  <si>
    <t>Date of issue</t>
  </si>
  <si>
    <t>Expected date of surrender</t>
  </si>
  <si>
    <t>Actual date of surrender</t>
  </si>
  <si>
    <t>Imprest Amount Kshs</t>
  </si>
  <si>
    <t>Amount surrendered Kshs</t>
  </si>
  <si>
    <t>Mr. Laxmana Peter Kiptoo</t>
  </si>
  <si>
    <t>IMP933</t>
  </si>
  <si>
    <t>07 Apr 2025</t>
  </si>
  <si>
    <t>24 Apr 2025</t>
  </si>
  <si>
    <t>Mrs. Bernadette Njeri Nzomo</t>
  </si>
  <si>
    <t>IMP934</t>
  </si>
  <si>
    <t>Mr. Otieno Nicholas Lindon</t>
  </si>
  <si>
    <t>IMP915</t>
  </si>
  <si>
    <t>10 Apr 2025</t>
  </si>
  <si>
    <t>14 Apr 2025</t>
  </si>
  <si>
    <t>Miss. Soy Cherutoh Mercy</t>
  </si>
  <si>
    <t>IMP916</t>
  </si>
  <si>
    <t>Mr. Njane Kirubi Robert David</t>
  </si>
  <si>
    <t>IMP917</t>
  </si>
  <si>
    <t>Mr. Sang Kiplangat Isaiah</t>
  </si>
  <si>
    <t>IMP918</t>
  </si>
  <si>
    <t>Miss. Muthini Mwende Dorris</t>
  </si>
  <si>
    <t>IMP919</t>
  </si>
  <si>
    <t>IMP921</t>
  </si>
  <si>
    <t>11 Apr 2025</t>
  </si>
  <si>
    <t>18 Apr 2025</t>
  </si>
  <si>
    <t>IMP922</t>
  </si>
  <si>
    <t>IMP923</t>
  </si>
  <si>
    <t>IMP924</t>
  </si>
  <si>
    <t>IMP925</t>
  </si>
  <si>
    <t>Miss. Mwai Nyawira Margaret</t>
  </si>
  <si>
    <t>IMP920</t>
  </si>
  <si>
    <t>17 Apr 2025</t>
  </si>
  <si>
    <t>Mr. Monyoncho Nyatuka Stephen</t>
  </si>
  <si>
    <t>IMP926</t>
  </si>
  <si>
    <t>15 Apr 2025</t>
  </si>
  <si>
    <t>Miss. Karari Wangui Julliet</t>
  </si>
  <si>
    <t>IMP927</t>
  </si>
  <si>
    <t>IMP928</t>
  </si>
  <si>
    <t>Mr. Mutua Muthomi Eric</t>
  </si>
  <si>
    <t>IMP929</t>
  </si>
  <si>
    <t>Mr. Omoding Opote Richard</t>
  </si>
  <si>
    <t>IMP930</t>
  </si>
  <si>
    <t>IMP931</t>
  </si>
  <si>
    <t>Ms. Angwenyi Kwamboka Zilpah</t>
  </si>
  <si>
    <t>IMP932</t>
  </si>
  <si>
    <t>Mr. Abdullahi Muktar Mohamed</t>
  </si>
  <si>
    <t>IMP938</t>
  </si>
  <si>
    <t>21 Apr 2025</t>
  </si>
  <si>
    <t>06 May 2025</t>
  </si>
  <si>
    <t>IMP935</t>
  </si>
  <si>
    <t>25 Apr 2025</t>
  </si>
  <si>
    <t>IMP936</t>
  </si>
  <si>
    <t>IMP937</t>
  </si>
  <si>
    <t>28 Apr 2025</t>
  </si>
  <si>
    <t>IMP939</t>
  </si>
  <si>
    <t>27 Apr 2025</t>
  </si>
  <si>
    <t>Mr. Kiruri Maina Nicholas</t>
  </si>
  <si>
    <t>IMP941</t>
  </si>
  <si>
    <t>30 Apr 2025</t>
  </si>
  <si>
    <t>IMP940</t>
  </si>
  <si>
    <t>04 May 2025</t>
  </si>
  <si>
    <t>IMP942</t>
  </si>
  <si>
    <t>11 May 2025</t>
  </si>
  <si>
    <t>14 May 2025</t>
  </si>
  <si>
    <t>IMP943</t>
  </si>
  <si>
    <t>19 May 2025</t>
  </si>
  <si>
    <t>Mr. Kirop Chesos Richard</t>
  </si>
  <si>
    <t>IMP944</t>
  </si>
  <si>
    <t>Mr. Kashoka Ng'ang'a Allan</t>
  </si>
  <si>
    <t>IMP945</t>
  </si>
  <si>
    <t>28 May 2025</t>
  </si>
  <si>
    <t>IMP946</t>
  </si>
  <si>
    <t>20 May 2025</t>
  </si>
  <si>
    <t>IMP947</t>
  </si>
  <si>
    <t>27 May 2025</t>
  </si>
  <si>
    <t>IMP953</t>
  </si>
  <si>
    <t>16 Jun 2025</t>
  </si>
  <si>
    <t>IMP948</t>
  </si>
  <si>
    <t>04 Jun 2025</t>
  </si>
  <si>
    <t>IMP949</t>
  </si>
  <si>
    <t>29 May 2025</t>
  </si>
  <si>
    <t>Miss. Kimunguyi Mabuka Maureen</t>
  </si>
  <si>
    <t>IMP951</t>
  </si>
  <si>
    <t>Miss. Ncabira Jackline Ann</t>
  </si>
  <si>
    <t>IMP950</t>
  </si>
  <si>
    <t>05 Jun 2025</t>
  </si>
  <si>
    <t>20 Jun 2025</t>
  </si>
  <si>
    <t>IMP952</t>
  </si>
  <si>
    <t>09 Jun 2025</t>
  </si>
  <si>
    <t>17 Jun 2025</t>
  </si>
  <si>
    <t>IMP954</t>
  </si>
  <si>
    <t>11 Jun 2025</t>
  </si>
  <si>
    <t>IMP955</t>
  </si>
  <si>
    <t>IMP956</t>
  </si>
  <si>
    <t>Mrs. Oichoe Moraa Grace</t>
  </si>
  <si>
    <t>IMP957</t>
  </si>
  <si>
    <t>IMP958</t>
  </si>
  <si>
    <t>30 Jun 2025</t>
  </si>
  <si>
    <t>IMP959</t>
  </si>
  <si>
    <t>IMP961</t>
  </si>
  <si>
    <t>18 Jun 2025</t>
  </si>
  <si>
    <t>03 Jul 2025</t>
  </si>
  <si>
    <t>IMP960</t>
  </si>
  <si>
    <t>23 Jun 2025</t>
  </si>
  <si>
    <t>IMP962</t>
  </si>
  <si>
    <t>26 Jun 2025</t>
  </si>
  <si>
    <t>04 Jul 2025</t>
  </si>
  <si>
    <t>IMP963</t>
  </si>
  <si>
    <t>02 Jul 2025</t>
  </si>
  <si>
    <t>IMP964</t>
  </si>
  <si>
    <t>Mrs. Kimomgo Koki Rachel</t>
  </si>
  <si>
    <t>IMP965</t>
  </si>
  <si>
    <t>01 Jul 2025</t>
  </si>
  <si>
    <t>Mr. Buya Komora Israel</t>
  </si>
  <si>
    <t>IMP966</t>
  </si>
  <si>
    <t>IMP967</t>
  </si>
  <si>
    <t>09 Jul 2025</t>
  </si>
  <si>
    <r>
      <rPr>
        <sz val="7"/>
        <color rgb="FF2E74B5"/>
        <rFont val="Times New Roman"/>
        <family val="1"/>
      </rPr>
      <t xml:space="preserve"> </t>
    </r>
    <r>
      <rPr>
        <sz val="13"/>
        <color rgb="FF2E74B5"/>
        <rFont val="Calibri Light"/>
        <family val="2"/>
      </rPr>
      <t>Loans Payable Register</t>
    </r>
  </si>
  <si>
    <t>Source of debt i.e. country/ Institution</t>
  </si>
  <si>
    <t>Type of funding i.e.  foreign or domestic, if foreign bilateral or multilateral</t>
  </si>
  <si>
    <t>Effective date of borrowing</t>
  </si>
  <si>
    <t>Perceived benefits of the loan</t>
  </si>
  <si>
    <t>Currency of borrowing</t>
  </si>
  <si>
    <t xml:space="preserve"> Amount borrowed in original currency </t>
  </si>
  <si>
    <t>Amount borrowed in Kshs</t>
  </si>
  <si>
    <t>Amounts received to date Kshs</t>
  </si>
  <si>
    <t>Interest  payable Kshs</t>
  </si>
  <si>
    <t>Total payable Kshs</t>
  </si>
  <si>
    <t xml:space="preserve">Remarks </t>
  </si>
  <si>
    <r>
      <rPr>
        <sz val="7"/>
        <color rgb="FF2E74B5"/>
        <rFont val="Times New Roman"/>
        <family val="1"/>
      </rPr>
      <t xml:space="preserve"> </t>
    </r>
    <r>
      <rPr>
        <sz val="13"/>
        <color rgb="FF2E74B5"/>
        <rFont val="Calibri Light"/>
        <family val="2"/>
      </rPr>
      <t>Contingent Liabilities Register</t>
    </r>
  </si>
  <si>
    <t>Nature of contingent liability</t>
  </si>
  <si>
    <t>Payable to</t>
  </si>
  <si>
    <t>Estimated Amount Kshs</t>
  </si>
  <si>
    <t>Expected date of payment</t>
  </si>
  <si>
    <r>
      <rPr>
        <sz val="7"/>
        <color rgb="FFFF0000"/>
        <rFont val="Times New Roman"/>
        <family val="1"/>
      </rPr>
      <t xml:space="preserve"> </t>
    </r>
    <r>
      <rPr>
        <sz val="13"/>
        <color rgb="FFFF0000"/>
        <rFont val="Calibri Light"/>
        <family val="2"/>
      </rPr>
      <t>Accruals/ Provisions Register</t>
    </r>
  </si>
  <si>
    <t>Description of accruals or provision</t>
  </si>
  <si>
    <t>Amount Kshs</t>
  </si>
  <si>
    <t>Due date of payment</t>
  </si>
  <si>
    <t>Accounts Payables Register</t>
  </si>
  <si>
    <t>Name of Supplier</t>
  </si>
  <si>
    <t>Source of funding</t>
  </si>
  <si>
    <t>Amount payable Kshs</t>
  </si>
  <si>
    <t>AOG</t>
  </si>
  <si>
    <t>AUDIT SERVICES</t>
  </si>
  <si>
    <t>CEO</t>
  </si>
  <si>
    <t>KES</t>
  </si>
  <si>
    <t>NW REALITE</t>
  </si>
  <si>
    <t>RENT-HQ</t>
  </si>
  <si>
    <t>BRITAM</t>
  </si>
  <si>
    <t>PENSION</t>
  </si>
  <si>
    <t>KANJAMA</t>
  </si>
  <si>
    <t>LEGAL</t>
  </si>
  <si>
    <t>OTIENO,YOGO,OJURO &amp; CO</t>
  </si>
  <si>
    <t>WAMBUGU &amp; MURIUKI ADV</t>
  </si>
  <si>
    <t>CHERONO AND KIPTOO ADVOCATES</t>
  </si>
  <si>
    <t>KENYA EXPEORTS PROMOTION &amp; BRANDING AGENCY</t>
  </si>
  <si>
    <t>THE STAR</t>
  </si>
  <si>
    <t>AVERTISING</t>
  </si>
  <si>
    <t>JAMII TELECOM (JTL)</t>
  </si>
  <si>
    <t>INTERNET</t>
  </si>
  <si>
    <t xml:space="preserve">CLOUD IT LTD </t>
  </si>
  <si>
    <t>Google Mail</t>
  </si>
  <si>
    <t>Pensions Payable Register</t>
  </si>
  <si>
    <t>Personal No.</t>
  </si>
  <si>
    <t>Officer Name</t>
  </si>
  <si>
    <t>Designation &amp; Job Grade</t>
  </si>
  <si>
    <t>Date of birth</t>
  </si>
  <si>
    <t>Date of employment</t>
  </si>
  <si>
    <t>Date of confirmation</t>
  </si>
  <si>
    <t>Eligible for pension (Y/N)</t>
  </si>
  <si>
    <t>Number of complete months</t>
  </si>
  <si>
    <t>Factor for pension computation</t>
  </si>
  <si>
    <t>Current annual pay</t>
  </si>
  <si>
    <t>Pension payable</t>
  </si>
  <si>
    <t>Ex-gratia payments</t>
  </si>
  <si>
    <t>Total payment due</t>
  </si>
  <si>
    <t>Lumpsum payment</t>
  </si>
  <si>
    <t>Amount outstanding</t>
  </si>
  <si>
    <t>Monthly pension payable to officer</t>
  </si>
  <si>
    <t>Other Liabilities Register</t>
  </si>
  <si>
    <t>Nature of liability</t>
  </si>
  <si>
    <r>
      <rPr>
        <sz val="7"/>
        <color rgb="FF2E74B5"/>
        <rFont val="Times New Roman"/>
        <family val="1"/>
      </rPr>
      <t xml:space="preserve">  </t>
    </r>
    <r>
      <rPr>
        <sz val="13"/>
        <color rgb="FF2E74B5"/>
        <rFont val="Calibri Light"/>
        <family val="2"/>
      </rPr>
      <t>Assets Movement Form</t>
    </r>
  </si>
  <si>
    <t>Date of movement</t>
  </si>
  <si>
    <t>Asset category</t>
  </si>
  <si>
    <t>Make/ Model</t>
  </si>
  <si>
    <t>Serial No.</t>
  </si>
  <si>
    <t>Old location</t>
  </si>
  <si>
    <t>New location</t>
  </si>
  <si>
    <t>Condition</t>
  </si>
  <si>
    <t>Movement approved by</t>
  </si>
  <si>
    <r>
      <rPr>
        <sz val="7"/>
        <color rgb="FF2E74B5"/>
        <rFont val="Times New Roman"/>
        <family val="1"/>
      </rPr>
      <t xml:space="preserve">  </t>
    </r>
    <r>
      <rPr>
        <sz val="13"/>
        <color rgb="FF2E74B5"/>
        <rFont val="Calibri Light"/>
        <family val="2"/>
      </rPr>
      <t>Revaluation Schedule</t>
    </r>
  </si>
  <si>
    <t>Asset Class</t>
  </si>
  <si>
    <t>Last Revaluation</t>
  </si>
  <si>
    <t>Next Revaluation</t>
  </si>
  <si>
    <t>Land</t>
  </si>
  <si>
    <t>Buildings</t>
  </si>
  <si>
    <t>Roads &amp; Bridges</t>
  </si>
  <si>
    <t>Other infrastructure</t>
  </si>
  <si>
    <r>
      <rPr>
        <sz val="7"/>
        <color rgb="FF2E74B5"/>
        <rFont val="Times New Roman"/>
        <family val="1"/>
      </rPr>
      <t xml:space="preserve">  </t>
    </r>
    <r>
      <rPr>
        <sz val="13"/>
        <color rgb="FF2E74B5"/>
        <rFont val="Calibri Light"/>
        <family val="2"/>
      </rPr>
      <t>Losses Register</t>
    </r>
  </si>
  <si>
    <t>Details of the item lost or written off, for example, asset code, description, value</t>
  </si>
  <si>
    <t>Statement as to the circumstances of the loss, for example, dates, personnel involved, how the loss occurred</t>
  </si>
  <si>
    <t xml:space="preserve"> Loss category for example theft, destroyed etc.</t>
  </si>
  <si>
    <t>Corrective action taken;</t>
  </si>
  <si>
    <t>General ledger account and cost centre codes;</t>
  </si>
  <si>
    <t>Preparer’s name and title</t>
  </si>
  <si>
    <t>Name and title of the approval officer (must have a losses delegation)</t>
  </si>
  <si>
    <t>Nil</t>
  </si>
  <si>
    <t>Guarantees and Indemnities Register</t>
  </si>
  <si>
    <t>Nature of the document (guarantee or indemnity or both)</t>
  </si>
  <si>
    <t>Initial amount involved</t>
  </si>
  <si>
    <t>Extent of the guarantee or indemnity, i.e. extent of liability</t>
  </si>
  <si>
    <t xml:space="preserve"> Date of normal expiration</t>
  </si>
  <si>
    <t>Duration of the document</t>
  </si>
  <si>
    <t>Current amount of the guaranteed instrument, including any accrued interest or reductions in principal and/or interest.</t>
  </si>
  <si>
    <r>
      <rPr>
        <sz val="7"/>
        <color rgb="FF2E74B5"/>
        <rFont val="Times New Roman"/>
        <family val="1"/>
      </rPr>
      <t xml:space="preserve"> </t>
    </r>
    <r>
      <rPr>
        <sz val="13"/>
        <color rgb="FF2E74B5"/>
        <rFont val="Calibri Light"/>
        <family val="2"/>
      </rPr>
      <t>Lease Register</t>
    </r>
  </si>
  <si>
    <t>Description of the leased asset</t>
  </si>
  <si>
    <t>Lease term/ period</t>
  </si>
  <si>
    <t>Repayment schedule, including the residual value and balloon payments</t>
  </si>
  <si>
    <t>Present value of minimum or total lease payments</t>
  </si>
  <si>
    <t>Type of lease, (operating or finance lease)</t>
  </si>
  <si>
    <t>Name and address of the lessor</t>
  </si>
  <si>
    <t>Name of the officer who approved the lease contract</t>
  </si>
  <si>
    <t>Nominal rate of interest applied in the lease</t>
  </si>
  <si>
    <t>Location of the lease agreement, for example, file reference and location.</t>
  </si>
  <si>
    <t>Ofice space, 15th and 14th Floors  - Headquarters</t>
  </si>
  <si>
    <t>Six Years</t>
  </si>
  <si>
    <t xml:space="preserve">Quarterly </t>
  </si>
  <si>
    <t>Operating Lease</t>
  </si>
  <si>
    <t>Cooperative Bank of Kenya limited P.O Box 30664-00100, Nairobi</t>
  </si>
  <si>
    <t>Mutuma Nkanata, Executive Director</t>
  </si>
  <si>
    <t>Ngos Co-ordination Board, 15th Floor Cooperative Bank House Building</t>
  </si>
  <si>
    <t>Office Space - Mombasa Office</t>
  </si>
  <si>
    <t>National Social Security Fund, P.O Box 30599-00100 Nairobi</t>
  </si>
  <si>
    <t>20% after every two years</t>
  </si>
  <si>
    <t>File/register number</t>
  </si>
  <si>
    <t>Insurance reference/claim number (where applicable)</t>
  </si>
  <si>
    <t xml:space="preserve"> Other party’s name</t>
  </si>
  <si>
    <t>Other party's legal representative</t>
  </si>
  <si>
    <t>Brief description of the claim</t>
  </si>
  <si>
    <t>Departmental officers(s)/ agent(s) involved (where applicable)</t>
  </si>
  <si>
    <t>Date that the file was created</t>
  </si>
  <si>
    <t>Commencement date of the action</t>
  </si>
  <si>
    <t>Date of the service of writs</t>
  </si>
  <si>
    <t>Departmental legal representative (panel and non-panel)</t>
  </si>
  <si>
    <t>Action taken to date</t>
  </si>
  <si>
    <t>Total estimate of the costs, inclusive of legal and damages</t>
  </si>
  <si>
    <t>Legal costs (amounts, description and date) incurred to date</t>
  </si>
  <si>
    <t>Any comments, for example, reference to legal opinions received and other pertinent details</t>
  </si>
  <si>
    <t>Current status of the claim, for example, claim settled.</t>
  </si>
  <si>
    <t>JRE05/21</t>
  </si>
  <si>
    <t>IDPS</t>
  </si>
  <si>
    <t>HELLEN ADV. JR. ORDERS</t>
  </si>
  <si>
    <t xml:space="preserve"> GOVERNANCE CHALLENGES &amp; ROLE OF THE BOARD</t>
  </si>
  <si>
    <t>M.SOY</t>
  </si>
  <si>
    <t>CONT</t>
  </si>
  <si>
    <t>COURT ATTENDANCE</t>
  </si>
  <si>
    <t>APPLICATION HEARING</t>
  </si>
  <si>
    <t>HCCC NO.E066 OF 2022</t>
  </si>
  <si>
    <t>ADAN WAKO</t>
  </si>
  <si>
    <t>SELF</t>
  </si>
  <si>
    <t>LOSS OF EMPLOYMENT</t>
  </si>
  <si>
    <t>B.ONDERI</t>
  </si>
  <si>
    <t>FILING AND SERVICE</t>
  </si>
  <si>
    <t>HEARING PENDING</t>
  </si>
  <si>
    <t>ELLLLRC 16/22</t>
  </si>
  <si>
    <t>LINDON OTIENO</t>
  </si>
  <si>
    <t>MURIUKI &amp; CO.</t>
  </si>
  <si>
    <t>PEITION ON LABOUR RIGHTS AND CHANGE IN STAFF DESIGNATION</t>
  </si>
  <si>
    <t>MURIUKI</t>
  </si>
  <si>
    <t>JUDGEMENT MADE</t>
  </si>
  <si>
    <t>H.C J.R E046 OF 2022</t>
  </si>
  <si>
    <t>VISION FOR LIFE</t>
  </si>
  <si>
    <t>KENANI &amp; CO.</t>
  </si>
  <si>
    <t>GOVERNANCE AND LAND DISPUTE</t>
  </si>
  <si>
    <t>RULING PENDING</t>
  </si>
  <si>
    <t>KISUMU/CIV//85 OF 2021</t>
  </si>
  <si>
    <t>KDP</t>
  </si>
  <si>
    <t>YOGO&amp;CO.</t>
  </si>
  <si>
    <t>FUNDING &amp; GOVERNANCE CHALLENGES</t>
  </si>
  <si>
    <t>MEDIATION PENDING</t>
  </si>
  <si>
    <t>CIVIL CASE/TBA/2024</t>
  </si>
  <si>
    <t>TBA</t>
  </si>
  <si>
    <t>ELIZABETH MAINA</t>
  </si>
  <si>
    <t>T.B.A</t>
  </si>
  <si>
    <t>INSURANCE CLAIM BY DOCTRINE OF SUBROGATION</t>
  </si>
  <si>
    <t>CONT.</t>
  </si>
  <si>
    <t>DRAFTING OF PLEADINGS</t>
  </si>
  <si>
    <t>MENTION DATE PENDING</t>
  </si>
  <si>
    <t>E.L.R.C NO.E616/2023</t>
  </si>
  <si>
    <t>BERYL ODETE</t>
  </si>
  <si>
    <t>KENJA&amp;CO.</t>
  </si>
  <si>
    <t>BREACH OF CONSTITUTIONAL RIGHT TO FAIR LABOUR PRACTICES</t>
  </si>
  <si>
    <t>HEARING 24/9/2024</t>
  </si>
  <si>
    <t>HCCHRPET E382/2024</t>
  </si>
  <si>
    <t>KHRC &amp; AFRICOG</t>
  </si>
  <si>
    <t>KATIBA INST.</t>
  </si>
  <si>
    <t>CONSTITUTIONAL</t>
  </si>
  <si>
    <t>M.SOY/VITALIS</t>
  </si>
  <si>
    <t>MENTION 23/07/2024</t>
  </si>
  <si>
    <t>HCCHRPET/E519/2024</t>
  </si>
  <si>
    <t>CIVIL SOCIETY REFERENCE GROUP</t>
  </si>
  <si>
    <t>ARENDE ORIRI &amp; ASSO. ADVOCATES</t>
  </si>
  <si>
    <t>M. SOY/VITALIS/ A.G</t>
  </si>
  <si>
    <t xml:space="preserve">CONT. </t>
  </si>
  <si>
    <r>
      <rPr>
        <sz val="7"/>
        <color rgb="FF2E74B5"/>
        <rFont val="Times New Roman"/>
        <family val="1"/>
      </rPr>
      <t xml:space="preserve">  </t>
    </r>
    <r>
      <rPr>
        <sz val="13"/>
        <color rgb="FF2E74B5"/>
        <rFont val="Calibri Light"/>
        <family val="2"/>
      </rPr>
      <t>Equipment Sign Out Register</t>
    </r>
  </si>
  <si>
    <t>Name of the borrower</t>
  </si>
  <si>
    <t>Contact details of the borrower</t>
  </si>
  <si>
    <t>Description of the item</t>
  </si>
  <si>
    <t>Asset or attractive item tag number (where applicable) or loan equipment identifier</t>
  </si>
  <si>
    <t>Date of loan</t>
  </si>
  <si>
    <t>Signature of the borrower</t>
  </si>
  <si>
    <t>Date equipment returned</t>
  </si>
  <si>
    <r>
      <rPr>
        <sz val="7"/>
        <color rgb="FF2E74B5"/>
        <rFont val="Times New Roman"/>
        <family val="1"/>
      </rPr>
      <t xml:space="preserve">  </t>
    </r>
    <r>
      <rPr>
        <sz val="13"/>
        <color rgb="FF2E74B5"/>
        <rFont val="Calibri Light"/>
        <family val="2"/>
      </rPr>
      <t>Asset Transfer Form</t>
    </r>
  </si>
  <si>
    <t>Between units/ departments</t>
  </si>
  <si>
    <t>Office furniture/ Equipment</t>
  </si>
  <si>
    <t>IT and Computer Equipment</t>
  </si>
  <si>
    <t>Current Location and Unit</t>
  </si>
  <si>
    <t>New Location and Unit</t>
  </si>
  <si>
    <t>Comments/ reason for the transfer</t>
  </si>
  <si>
    <t>Signature of transferor (old holder)</t>
  </si>
  <si>
    <t>Signature of transferee (new holder)</t>
  </si>
  <si>
    <t>Description of asset</t>
  </si>
  <si>
    <t>Tag Number</t>
  </si>
  <si>
    <t>User</t>
  </si>
  <si>
    <t>Asset Handover Form</t>
  </si>
  <si>
    <t>Name of staff: ____________________________________________</t>
  </si>
  <si>
    <t>Designation of staff: _______________________________________</t>
  </si>
  <si>
    <t>Unit/ Department: ____________________________________________________</t>
  </si>
  <si>
    <t>Asset code</t>
  </si>
  <si>
    <t>Serial Number</t>
  </si>
  <si>
    <t>Location</t>
  </si>
  <si>
    <t>Comments on the condition of the asset</t>
  </si>
  <si>
    <t>Category of assets</t>
  </si>
  <si>
    <t>Opening balances - cost</t>
  </si>
  <si>
    <t>Opening balances - Accumulated depreciation</t>
  </si>
  <si>
    <t>Asset additions</t>
  </si>
  <si>
    <t>Asset disposals</t>
  </si>
  <si>
    <t>Annual depreciation charge</t>
  </si>
  <si>
    <t>Impairments</t>
  </si>
  <si>
    <t>Revaluations</t>
  </si>
  <si>
    <t>Asset register</t>
  </si>
  <si>
    <t>Accounting records</t>
  </si>
  <si>
    <t>Difference</t>
  </si>
  <si>
    <r>
      <rPr>
        <sz val="7"/>
        <rFont val="Times New Roman"/>
        <family val="1"/>
      </rPr>
      <t xml:space="preserve"> </t>
    </r>
    <r>
      <rPr>
        <sz val="13"/>
        <rFont val="Calibri Light"/>
        <family val="2"/>
      </rPr>
      <t>Asset Reconciliation Report</t>
    </r>
  </si>
  <si>
    <t>Motor vehicles</t>
  </si>
  <si>
    <t>Furniture &amp; fittings</t>
  </si>
  <si>
    <t>office equipment</t>
  </si>
  <si>
    <t>ICT EQUIPMENT</t>
  </si>
  <si>
    <t xml:space="preserve"> ICT/Computer register </t>
  </si>
  <si>
    <t>NGOB/02/0230
NGOB/02/0239
NGOB/02/0038</t>
  </si>
  <si>
    <t>NGOB/02/0053
NGOB/02/0073
NGOB/02/0083</t>
  </si>
  <si>
    <t xml:space="preserve">Dorris Muthini </t>
  </si>
  <si>
    <t>Eric Mutua</t>
  </si>
  <si>
    <t>NGOB/02/0097
NGOB/02/0098
NGOB/02/0099</t>
  </si>
  <si>
    <t>CZC018CQKZ
3CQ0031018</t>
  </si>
  <si>
    <t>Sarah Oloo</t>
  </si>
  <si>
    <t>Rahma Dalacha</t>
  </si>
  <si>
    <t>TRF415W2R
6CM4031GV6</t>
  </si>
  <si>
    <t xml:space="preserve">NGOB/02/0043
NGOB/02/0248
</t>
  </si>
  <si>
    <t>NGOB/02/0055
NGOB/02/0016
NGOB/02/0009</t>
  </si>
  <si>
    <t>54XY23
CN-O65TPN-64880-512-8Y3I</t>
  </si>
  <si>
    <t>NGOB/02/0239
NGOB/02/0262
NGOB/02/0263</t>
  </si>
  <si>
    <t xml:space="preserve">INTEL CORE I3 4TH GENERATION,4GB, 500 GB , 200 GB 
17''inch LED HP Monitor
</t>
  </si>
  <si>
    <t>NGOB/02/0173
NGOB/02/0005
NGOB/02/0</t>
  </si>
  <si>
    <t xml:space="preserve">HP PRO 3500 SERIES,INTEL CORE I3 3240, 4GB,500GB
21''inch LED HP Monitor
</t>
  </si>
  <si>
    <t>NGOB/02/0228
NGOB/02/0329
NGOB/02/</t>
  </si>
  <si>
    <t>5CD032LOCZC</t>
  </si>
  <si>
    <t>Mokua Arasa</t>
  </si>
  <si>
    <t>5CD032LOFD</t>
  </si>
  <si>
    <t xml:space="preserve">                                                                                                                                                                                                                                           </t>
  </si>
  <si>
    <t>Office Equipment</t>
  </si>
  <si>
    <t>Boardroom Projector Screen 50</t>
  </si>
  <si>
    <t>Totals</t>
  </si>
  <si>
    <t>26/02/2025</t>
  </si>
  <si>
    <t>HP Laserjet mono M236DW HP Laserjet P2055d</t>
  </si>
  <si>
    <t>Prepared by: Doris Muthini Designation: Manager SCM Date: 30th June 2025</t>
  </si>
  <si>
    <t>Checked by: David NjaneDesignation: Finance Manager Date: 30th June  2025</t>
  </si>
  <si>
    <t>Authorized by: Dr. Laxmana P. Kiptoo  Designation:  Director/Chief Executive Officer Date: 30th June 2025</t>
  </si>
  <si>
    <t>Prepared by: Yvonne Gitau Designation: ICT Officer Date: 30th June 2025</t>
  </si>
  <si>
    <t>Checked by: Francis Tumuti Designation: Principal ICT Officer Date:30th June 2025</t>
  </si>
  <si>
    <t>Box File</t>
  </si>
  <si>
    <t>Closing stocks as at 30TH JUNE2025</t>
  </si>
  <si>
    <t>Coloured photocopying Papers Blue</t>
  </si>
  <si>
    <t>Coloured photocopying Papers Pink</t>
  </si>
  <si>
    <t>Document folder</t>
  </si>
  <si>
    <t>ENEVELOPES A4</t>
  </si>
  <si>
    <t>COPY CAT TONER NO 2501</t>
  </si>
  <si>
    <t>GLOBE SPRING FILE</t>
  </si>
  <si>
    <t>BOX</t>
  </si>
  <si>
    <t>TONER NO 26A</t>
  </si>
  <si>
    <t>TONER NO 410</t>
  </si>
  <si>
    <t>TONER NO 411</t>
  </si>
  <si>
    <t>TONER NO 412</t>
  </si>
  <si>
    <t>TONER NO 413</t>
  </si>
  <si>
    <t>TONER NO1160</t>
  </si>
  <si>
    <t>STICKY NOTES</t>
  </si>
  <si>
    <t>MASKING TAPES</t>
  </si>
  <si>
    <t>Prepared by: Arasa Mokuah Designation: SCM Officer Date: 30th June 2025</t>
  </si>
  <si>
    <t>Checked by: Doris Muthini Designation: Manager SCM Date: 30th June 2025</t>
  </si>
  <si>
    <t>Authorized by: Dr. Laxmana P. Kiptoo  Designation:  Director/Chief Executive Officer Date: 30th June  2025</t>
  </si>
  <si>
    <t>Prepared by: Mohamed Muktar Designation: Principal Finance Officer Date: 30th June 2025</t>
  </si>
  <si>
    <t>Checked by: David Njane Designation: Finance Manager Date: 30th June 2025</t>
  </si>
  <si>
    <t>Authorized by: Dr. Laxmana P. Kiptoo  Designation: Director/Chief Executive Officer Date:30th June 2025</t>
  </si>
  <si>
    <t>Prepared by: Ephy Nafuna Designation: Senior Administration Officer Date: 30th June 2025</t>
  </si>
  <si>
    <t>Checked by: Tony Kirima Designation: Human resource and Administration Manager Date: 30th June 2025</t>
  </si>
  <si>
    <r>
      <rPr>
        <sz val="7"/>
        <color rgb="FF2E74B5"/>
        <rFont val="Times New Roman"/>
        <family val="1"/>
      </rPr>
      <t xml:space="preserve">   </t>
    </r>
    <r>
      <rPr>
        <sz val="13"/>
        <color rgb="FF2E74B5"/>
        <rFont val="Calibri Light"/>
        <family val="2"/>
      </rPr>
      <t>Litigation Register</t>
    </r>
  </si>
  <si>
    <t>1.5M</t>
  </si>
  <si>
    <t>3M</t>
  </si>
  <si>
    <t>1.8M</t>
  </si>
  <si>
    <t>500,00</t>
  </si>
  <si>
    <t>MUNYAO MUTHAMA &amp; KASHINDI ADVOCATES</t>
  </si>
  <si>
    <t>FILING OF SUBMISSIONS</t>
  </si>
  <si>
    <t>COURT OF APPEAL, AWAITING EMPANELMENT OF THE BENCH</t>
  </si>
  <si>
    <t>JUDGEMENT MADE ON APRIL 30,2025</t>
  </si>
  <si>
    <t xml:space="preserve">STAY ORDERS GIVEN </t>
  </si>
  <si>
    <t>Checked by: Mercy Soy Designation: Senior Legal Officer Date: 30th June 2025</t>
  </si>
  <si>
    <t>Authorized by: Lindon Nicolas Otieno  Designation: Legal Manager Date: 30th June 2025</t>
  </si>
  <si>
    <t xml:space="preserve">HP Probook 450 G7, 10th Gen Core i7 Intel core, 16GB RAM DDR4, 1TB </t>
  </si>
  <si>
    <t xml:space="preserve">Checked by: Francis Tumuti Designation: Principal ICT Officer Date: </t>
  </si>
  <si>
    <t>Prepared by: Daniel Muthuri  Designation: ICT Officer Date: 19th March 2026</t>
  </si>
  <si>
    <t xml:space="preserve">Authorized by: Dr. Laxmana P. Kiptoo  Designation:  Director/Chief Executive Officer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</si>
</sst>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 * #,##0.00_ ;_ * \-#,##0.00_ ;_ * &quot;-&quot;??_ ;_ @_ "/>
    <numFmt numFmtId="166" formatCode="m/d/yy;@"/>
    <numFmt numFmtId="167" formatCode="???,??0.00"/>
    <numFmt numFmtId="168" formatCode="_ * #,##0_ ;_ * \-#,##0_ ;_ * &quot;-&quot;??_ ;_ @_ "/>
    <numFmt numFmtId="169" formatCode="_(* #,##0_);_(* \(#,##0\);_(* &quot;-&quot;??_);_(@_)"/>
  </numFmts>
  <fonts count="76">
    <font>
      <sz val="11"/>
      <color theme="1"/>
      <name val="Calibri"/>
      <charset val="134"/>
      <scheme val="minor"/>
    </font>
    <font>
      <sz val="11"/>
      <color theme="1"/>
      <name val="Calibri"/>
      <family val="2"/>
      <scheme val="minor"/>
    </font>
    <font>
      <sz val="11"/>
      <color theme="1"/>
      <name val="Calibri"/>
      <family val="2"/>
      <scheme val="minor"/>
    </font>
    <font>
      <sz val="12"/>
      <color theme="1"/>
      <name val="Times New Roman"/>
      <family val="1"/>
    </font>
    <font>
      <sz val="11"/>
      <name val="Calibri"/>
      <family val="2"/>
      <scheme val="minor"/>
    </font>
    <font>
      <sz val="13"/>
      <color rgb="FF2E74B5"/>
      <name val="Calibri Light"/>
      <family val="2"/>
    </font>
    <font>
      <b/>
      <sz val="11"/>
      <name val="Calibri"/>
      <family val="2"/>
      <scheme val="minor"/>
    </font>
    <font>
      <sz val="11"/>
      <color rgb="FFFF0000"/>
      <name val="Calibri"/>
      <family val="2"/>
      <scheme val="minor"/>
    </font>
    <font>
      <sz val="11"/>
      <name val="Georgia"/>
      <family val="1"/>
    </font>
    <font>
      <sz val="11"/>
      <color rgb="FFFF0000"/>
      <name val="Georgia"/>
      <family val="1"/>
    </font>
    <font>
      <sz val="11"/>
      <color theme="1"/>
      <name val="Georgia"/>
      <family val="1"/>
    </font>
    <font>
      <b/>
      <sz val="11"/>
      <color theme="1"/>
      <name val="Calibri"/>
      <family val="2"/>
      <scheme val="minor"/>
    </font>
    <font>
      <sz val="11"/>
      <color theme="1"/>
      <name val="Calibri"/>
      <family val="2"/>
      <scheme val="minor"/>
    </font>
    <font>
      <sz val="12"/>
      <color theme="1"/>
      <name val="Georgia"/>
      <family val="1"/>
    </font>
    <font>
      <sz val="12"/>
      <color theme="1"/>
      <name val="Calibri"/>
      <family val="2"/>
      <scheme val="minor"/>
    </font>
    <font>
      <b/>
      <sz val="12"/>
      <color theme="1"/>
      <name val="Times New Roman"/>
      <family val="1"/>
    </font>
    <font>
      <sz val="12"/>
      <name val="Times New Roman"/>
      <family val="1"/>
    </font>
    <font>
      <sz val="12"/>
      <color rgb="FFFF0000"/>
      <name val="Times New Roman"/>
      <family val="1"/>
    </font>
    <font>
      <sz val="13"/>
      <color rgb="FFFF0000"/>
      <name val="Calibri Light"/>
      <family val="2"/>
    </font>
    <font>
      <sz val="12"/>
      <name val="Georgia"/>
      <family val="1"/>
    </font>
    <font>
      <sz val="12"/>
      <name val="Calibri"/>
      <family val="2"/>
      <scheme val="minor"/>
    </font>
    <font>
      <sz val="11"/>
      <color rgb="FFC00000"/>
      <name val="Calibri"/>
      <family val="2"/>
      <scheme val="minor"/>
    </font>
    <font>
      <sz val="12"/>
      <color rgb="FFFF0000"/>
      <name val="Georgia"/>
      <family val="1"/>
    </font>
    <font>
      <sz val="12"/>
      <color rgb="FFFF0000"/>
      <name val="Calibri"/>
      <family val="2"/>
      <scheme val="minor"/>
    </font>
    <font>
      <sz val="13"/>
      <color theme="1"/>
      <name val="Calibri Light"/>
      <family val="2"/>
    </font>
    <font>
      <sz val="9"/>
      <color theme="1"/>
      <name val="Times New Roman"/>
      <family val="1"/>
    </font>
    <font>
      <sz val="12"/>
      <color rgb="FF2E74B5"/>
      <name val="Times New Roman"/>
      <family val="1"/>
    </font>
    <font>
      <sz val="12"/>
      <color rgb="FFC00000"/>
      <name val="Times New Roman"/>
      <family val="1"/>
    </font>
    <font>
      <sz val="10"/>
      <color theme="1"/>
      <name val="Calibri"/>
      <family val="2"/>
      <scheme val="minor"/>
    </font>
    <font>
      <sz val="12"/>
      <color rgb="FF0070C0"/>
      <name val="Times New Roman"/>
      <family val="1"/>
    </font>
    <font>
      <sz val="12"/>
      <color rgb="FF000000"/>
      <name val="Times New Roman"/>
      <family val="1"/>
    </font>
    <font>
      <b/>
      <sz val="12"/>
      <color rgb="FF000000"/>
      <name val="Times New Roman"/>
      <family val="1"/>
    </font>
    <font>
      <b/>
      <sz val="8"/>
      <color rgb="FF000000"/>
      <name val="Arial"/>
      <family val="2"/>
    </font>
    <font>
      <sz val="11"/>
      <color theme="1"/>
      <name val="Times New Roman"/>
      <family val="1"/>
    </font>
    <font>
      <sz val="10"/>
      <color theme="1"/>
      <name val="Times New Roman"/>
      <family val="1"/>
    </font>
    <font>
      <sz val="11"/>
      <color rgb="FF2E74B5"/>
      <name val="Calibri"/>
      <family val="2"/>
    </font>
    <font>
      <b/>
      <sz val="9"/>
      <color theme="1"/>
      <name val="Times New Roman"/>
      <family val="1"/>
    </font>
    <font>
      <sz val="8"/>
      <color rgb="FF000000"/>
      <name val="Times New Roman"/>
      <family val="1"/>
    </font>
    <font>
      <sz val="12"/>
      <color rgb="FF000000"/>
      <name val="Arial"/>
      <family val="2"/>
    </font>
    <font>
      <sz val="10"/>
      <color rgb="FF000000"/>
      <name val="Arial"/>
      <family val="2"/>
    </font>
    <font>
      <sz val="10"/>
      <color rgb="FF000000"/>
      <name val="Times New Roman"/>
      <family val="1"/>
    </font>
    <font>
      <u/>
      <sz val="11"/>
      <color theme="10"/>
      <name val="Calibri"/>
      <family val="2"/>
      <scheme val="minor"/>
    </font>
    <font>
      <sz val="11"/>
      <color rgb="FF2E74B5"/>
      <name val="Calibri"/>
      <family val="2"/>
      <scheme val="minor"/>
    </font>
    <font>
      <b/>
      <sz val="11"/>
      <color rgb="FF000000"/>
      <name val="Calibri"/>
      <family val="2"/>
      <scheme val="minor"/>
    </font>
    <font>
      <sz val="11"/>
      <color rgb="FF000000"/>
      <name val="Calibri"/>
      <family val="2"/>
      <scheme val="minor"/>
    </font>
    <font>
      <sz val="10"/>
      <name val="Arial"/>
      <family val="2"/>
    </font>
    <font>
      <sz val="7"/>
      <color rgb="FF2E74B5"/>
      <name val="Times New Roman"/>
      <family val="1"/>
    </font>
    <font>
      <sz val="7"/>
      <color rgb="FFFF0000"/>
      <name val="Times New Roman"/>
      <family val="1"/>
    </font>
    <font>
      <sz val="7"/>
      <color theme="1"/>
      <name val="Times New Roman"/>
      <family val="1"/>
    </font>
    <font>
      <b/>
      <sz val="11"/>
      <color theme="1"/>
      <name val="Calibri"/>
      <family val="2"/>
      <scheme val="minor"/>
    </font>
    <font>
      <sz val="13"/>
      <name val="Calibri Light"/>
      <family val="2"/>
    </font>
    <font>
      <sz val="7"/>
      <name val="Times New Roman"/>
      <family val="1"/>
    </font>
    <font>
      <sz val="11"/>
      <name val="Calibri"/>
      <family val="2"/>
      <scheme val="minor"/>
    </font>
    <font>
      <sz val="11"/>
      <color theme="5"/>
      <name val="Calibri"/>
      <family val="2"/>
      <scheme val="minor"/>
    </font>
    <font>
      <b/>
      <sz val="9"/>
      <name val="Calibri"/>
      <family val="2"/>
      <scheme val="minor"/>
    </font>
    <font>
      <sz val="9"/>
      <name val="Calibri"/>
      <family val="2"/>
      <scheme val="minor"/>
    </font>
    <font>
      <b/>
      <sz val="11"/>
      <name val="Calibri"/>
      <family val="2"/>
      <scheme val="minor"/>
    </font>
    <font>
      <sz val="12"/>
      <color theme="1"/>
      <name val="Georgia"/>
      <family val="1"/>
    </font>
    <font>
      <sz val="12"/>
      <color theme="1"/>
      <name val="Calibri"/>
      <family val="2"/>
      <scheme val="minor"/>
    </font>
    <font>
      <sz val="14"/>
      <color theme="1"/>
      <name val="Calibri"/>
      <family val="2"/>
      <scheme val="minor"/>
    </font>
    <font>
      <sz val="10"/>
      <color theme="1"/>
      <name val="Times New Roman"/>
      <family val="1"/>
    </font>
    <font>
      <sz val="10"/>
      <name val="Times New Roman"/>
      <family val="1"/>
    </font>
    <font>
      <sz val="12"/>
      <name val="Calibri"/>
      <family val="2"/>
      <scheme val="minor"/>
    </font>
    <font>
      <b/>
      <sz val="14"/>
      <color theme="1"/>
      <name val="Times New Roman"/>
      <family val="1"/>
    </font>
    <font>
      <b/>
      <sz val="14"/>
      <color theme="1"/>
      <name val="Calibri"/>
      <family val="2"/>
      <scheme val="minor"/>
    </font>
    <font>
      <sz val="10"/>
      <color rgb="FF000000"/>
      <name val="Times New Roman"/>
      <family val="1"/>
    </font>
    <font>
      <sz val="11"/>
      <name val="Times New Roman"/>
      <family val="1"/>
    </font>
    <font>
      <b/>
      <sz val="11"/>
      <name val="Times New Roman"/>
      <family val="1"/>
    </font>
    <font>
      <sz val="11"/>
      <color rgb="FFC00000"/>
      <name val="Times New Roman"/>
      <family val="1"/>
    </font>
    <font>
      <sz val="11"/>
      <color rgb="FF000000"/>
      <name val="Times New Roman"/>
      <family val="1"/>
    </font>
    <font>
      <sz val="11"/>
      <color theme="1"/>
      <name val="Times New Roman"/>
      <family val="1"/>
    </font>
    <font>
      <b/>
      <sz val="11"/>
      <color theme="1"/>
      <name val="Times New Roman"/>
      <family val="1"/>
    </font>
    <font>
      <sz val="12"/>
      <color theme="1"/>
      <name val="Times New Roman"/>
      <family val="1"/>
    </font>
    <font>
      <b/>
      <sz val="11"/>
      <name val="Calibri"/>
      <family val="2"/>
    </font>
    <font>
      <sz val="14"/>
      <color theme="1"/>
      <name val="Times New Roman"/>
      <family val="1"/>
    </font>
    <font>
      <sz val="14"/>
      <color theme="1"/>
      <name val="Georgia"/>
      <family val="1"/>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6">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style="medium">
        <color auto="1"/>
      </top>
      <bottom/>
      <diagonal/>
    </border>
    <border>
      <left/>
      <right/>
      <top/>
      <bottom style="medium">
        <color auto="1"/>
      </bottom>
      <diagonal/>
    </border>
    <border>
      <left style="medium">
        <color auto="1"/>
      </left>
      <right style="medium">
        <color auto="1"/>
      </right>
      <top style="medium">
        <color auto="1"/>
      </top>
      <bottom/>
      <diagonal/>
    </border>
    <border>
      <left style="thin">
        <color auto="1"/>
      </left>
      <right style="thin">
        <color auto="1"/>
      </right>
      <top/>
      <bottom/>
      <diagonal/>
    </border>
    <border>
      <left/>
      <right style="thin">
        <color auto="1"/>
      </right>
      <top/>
      <bottom/>
      <diagonal/>
    </border>
  </borders>
  <cellStyleXfs count="23">
    <xf numFmtId="0" fontId="0" fillId="0" borderId="0"/>
    <xf numFmtId="165" fontId="12" fillId="0" borderId="0" applyFont="0" applyFill="0" applyBorder="0" applyAlignment="0" applyProtection="0">
      <alignment vertical="center"/>
    </xf>
    <xf numFmtId="0" fontId="41" fillId="0" borderId="0" applyNumberFormat="0" applyFill="0" applyBorder="0" applyAlignment="0" applyProtection="0"/>
    <xf numFmtId="165" fontId="12" fillId="0" borderId="0" applyFont="0" applyFill="0" applyBorder="0" applyAlignment="0" applyProtection="0">
      <alignment vertical="center"/>
    </xf>
    <xf numFmtId="165" fontId="12" fillId="0" borderId="0" applyFont="0" applyFill="0" applyBorder="0" applyAlignment="0" applyProtection="0">
      <alignment vertical="center"/>
    </xf>
    <xf numFmtId="165" fontId="12" fillId="0" borderId="0" applyFont="0" applyFill="0" applyBorder="0" applyAlignment="0" applyProtection="0">
      <alignment vertical="center"/>
    </xf>
    <xf numFmtId="165" fontId="12" fillId="0" borderId="0" applyFont="0" applyFill="0" applyBorder="0" applyAlignment="0" applyProtection="0">
      <alignment vertical="center"/>
    </xf>
    <xf numFmtId="165" fontId="12" fillId="0" borderId="0" applyFont="0" applyFill="0" applyBorder="0" applyAlignment="0" applyProtection="0">
      <alignment vertical="center"/>
    </xf>
    <xf numFmtId="0" fontId="12" fillId="0" borderId="0"/>
    <xf numFmtId="0" fontId="12" fillId="0" borderId="0"/>
    <xf numFmtId="0" fontId="45"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0" fontId="2" fillId="0" borderId="0"/>
    <xf numFmtId="165"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325">
    <xf numFmtId="0" fontId="0" fillId="0" borderId="0" xfId="0"/>
    <xf numFmtId="0" fontId="3" fillId="0" borderId="0" xfId="0" applyFont="1"/>
    <xf numFmtId="0" fontId="4" fillId="0" borderId="0" xfId="0" applyFont="1"/>
    <xf numFmtId="0" fontId="4" fillId="0" borderId="5" xfId="0" applyFont="1" applyBorder="1" applyAlignment="1">
      <alignment vertical="center"/>
    </xf>
    <xf numFmtId="0" fontId="4" fillId="0" borderId="6" xfId="0" applyFont="1" applyBorder="1" applyAlignment="1">
      <alignment vertical="center"/>
    </xf>
    <xf numFmtId="0" fontId="3" fillId="0" borderId="0" xfId="0" applyFont="1" applyAlignment="1">
      <alignment vertical="center"/>
    </xf>
    <xf numFmtId="4" fontId="3" fillId="0" borderId="0" xfId="0" applyNumberFormat="1" applyFont="1"/>
    <xf numFmtId="0" fontId="5" fillId="0" borderId="0" xfId="0" applyFont="1" applyAlignment="1">
      <alignment horizontal="left" vertical="center" indent="5"/>
    </xf>
    <xf numFmtId="0" fontId="4" fillId="0" borderId="0" xfId="0" applyFont="1" applyAlignment="1">
      <alignment vertical="center"/>
    </xf>
    <xf numFmtId="0" fontId="6" fillId="0" borderId="1" xfId="0" applyFont="1" applyBorder="1" applyAlignment="1">
      <alignment vertical="center" wrapText="1"/>
    </xf>
    <xf numFmtId="0" fontId="6" fillId="0" borderId="2" xfId="0" applyFont="1" applyBorder="1" applyAlignment="1">
      <alignment vertical="center" wrapText="1"/>
    </xf>
    <xf numFmtId="0" fontId="4" fillId="0" borderId="2" xfId="0" applyFont="1" applyBorder="1" applyAlignment="1">
      <alignment vertical="center" wrapText="1"/>
    </xf>
    <xf numFmtId="0" fontId="4" fillId="0" borderId="7" xfId="0" applyFont="1" applyBorder="1" applyAlignment="1">
      <alignment vertical="center"/>
    </xf>
    <xf numFmtId="0" fontId="4" fillId="0" borderId="8" xfId="0" applyFont="1" applyBorder="1" applyAlignment="1">
      <alignment vertical="center"/>
    </xf>
    <xf numFmtId="0" fontId="7" fillId="0" borderId="9" xfId="0" applyFont="1" applyBorder="1" applyAlignment="1">
      <alignment vertical="center"/>
    </xf>
    <xf numFmtId="0" fontId="7" fillId="0" borderId="9" xfId="0" applyFont="1" applyBorder="1"/>
    <xf numFmtId="0" fontId="8" fillId="0" borderId="9" xfId="0" applyFont="1" applyBorder="1" applyAlignment="1">
      <alignment vertical="center"/>
    </xf>
    <xf numFmtId="0" fontId="4" fillId="0" borderId="9" xfId="0" applyFont="1" applyBorder="1"/>
    <xf numFmtId="0" fontId="9" fillId="0" borderId="9" xfId="0" applyFont="1" applyBorder="1" applyAlignment="1">
      <alignment vertical="center"/>
    </xf>
    <xf numFmtId="0" fontId="10" fillId="0" borderId="9" xfId="0" applyFont="1" applyBorder="1" applyAlignment="1">
      <alignment vertical="center"/>
    </xf>
    <xf numFmtId="0" fontId="0" fillId="0" borderId="9" xfId="0" applyBorder="1"/>
    <xf numFmtId="0" fontId="0" fillId="0" borderId="0" xfId="0" applyAlignment="1">
      <alignment vertical="center"/>
    </xf>
    <xf numFmtId="0" fontId="0" fillId="0" borderId="1" xfId="0" applyBorder="1" applyAlignment="1">
      <alignment vertical="center" wrapText="1"/>
    </xf>
    <xf numFmtId="0" fontId="11" fillId="0" borderId="2" xfId="0" applyFont="1" applyBorder="1" applyAlignment="1">
      <alignment vertical="center" wrapText="1"/>
    </xf>
    <xf numFmtId="0" fontId="0" fillId="0" borderId="5" xfId="0" applyBorder="1" applyAlignment="1">
      <alignment vertical="center" wrapText="1"/>
    </xf>
    <xf numFmtId="0" fontId="11" fillId="0" borderId="6" xfId="0" applyFont="1" applyBorder="1" applyAlignment="1">
      <alignment vertical="center" wrapText="1"/>
    </xf>
    <xf numFmtId="0" fontId="0" fillId="0" borderId="5" xfId="0" applyBorder="1" applyAlignment="1">
      <alignment vertical="center"/>
    </xf>
    <xf numFmtId="0" fontId="12" fillId="0" borderId="6" xfId="0" applyFont="1"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13" fillId="0" borderId="9" xfId="0" applyFont="1" applyBorder="1" applyAlignment="1">
      <alignment vertical="center"/>
    </xf>
    <xf numFmtId="0" fontId="14" fillId="0" borderId="9" xfId="0" applyFont="1" applyBorder="1"/>
    <xf numFmtId="0" fontId="0" fillId="0" borderId="6" xfId="0" applyBorder="1" applyAlignment="1">
      <alignment vertical="center" wrapText="1"/>
    </xf>
    <xf numFmtId="0" fontId="11" fillId="0" borderId="1" xfId="0" applyFont="1" applyBorder="1" applyAlignment="1">
      <alignment vertical="center" wrapText="1"/>
    </xf>
    <xf numFmtId="0" fontId="7" fillId="0" borderId="0" xfId="0" applyFont="1"/>
    <xf numFmtId="0" fontId="10" fillId="0" borderId="0" xfId="0" applyFont="1" applyAlignment="1">
      <alignment vertical="center"/>
    </xf>
    <xf numFmtId="0" fontId="13" fillId="0" borderId="0" xfId="0" applyFont="1" applyAlignment="1">
      <alignment vertical="center"/>
    </xf>
    <xf numFmtId="0" fontId="14" fillId="0" borderId="0" xfId="0" applyFont="1"/>
    <xf numFmtId="0" fontId="15" fillId="0" borderId="0" xfId="0" applyFont="1"/>
    <xf numFmtId="0" fontId="3" fillId="0" borderId="9" xfId="0" applyFont="1" applyBorder="1" applyAlignment="1">
      <alignment vertical="center"/>
    </xf>
    <xf numFmtId="0" fontId="3" fillId="0" borderId="9" xfId="0" applyFont="1" applyBorder="1" applyAlignment="1">
      <alignment vertical="center" wrapText="1"/>
    </xf>
    <xf numFmtId="0" fontId="3" fillId="0" borderId="9" xfId="0" applyFont="1" applyBorder="1"/>
    <xf numFmtId="0" fontId="15" fillId="0" borderId="0" xfId="0" applyFont="1" applyAlignment="1">
      <alignment vertical="center"/>
    </xf>
    <xf numFmtId="0" fontId="15" fillId="0" borderId="9" xfId="0" applyFont="1" applyBorder="1"/>
    <xf numFmtId="0" fontId="16" fillId="0" borderId="0" xfId="0" applyFont="1" applyAlignment="1">
      <alignment vertical="center"/>
    </xf>
    <xf numFmtId="0" fontId="16" fillId="0" borderId="0" xfId="0" applyFont="1"/>
    <xf numFmtId="0" fontId="17" fillId="0" borderId="0" xfId="0" applyFont="1" applyAlignment="1">
      <alignment vertical="center"/>
    </xf>
    <xf numFmtId="0" fontId="17" fillId="0" borderId="0" xfId="0" applyFont="1"/>
    <xf numFmtId="3" fontId="15" fillId="0" borderId="9" xfId="0" applyNumberFormat="1" applyFont="1" applyBorder="1"/>
    <xf numFmtId="0" fontId="7" fillId="0" borderId="0" xfId="0" applyFont="1" applyAlignment="1">
      <alignment vertical="center"/>
    </xf>
    <xf numFmtId="0" fontId="6" fillId="0" borderId="1" xfId="0" applyFont="1" applyBorder="1" applyAlignment="1">
      <alignment vertical="center"/>
    </xf>
    <xf numFmtId="165" fontId="4" fillId="0" borderId="6" xfId="1" applyFont="1" applyBorder="1" applyAlignment="1">
      <alignment vertical="center"/>
    </xf>
    <xf numFmtId="165" fontId="0" fillId="0" borderId="6" xfId="1" applyFont="1" applyBorder="1" applyAlignment="1">
      <alignment vertical="center"/>
    </xf>
    <xf numFmtId="0" fontId="4" fillId="0" borderId="9" xfId="0" applyFont="1" applyBorder="1" applyAlignment="1">
      <alignment vertical="center"/>
    </xf>
    <xf numFmtId="9" fontId="4" fillId="0" borderId="6" xfId="0" applyNumberFormat="1" applyFont="1" applyBorder="1" applyAlignment="1">
      <alignment vertical="center"/>
    </xf>
    <xf numFmtId="0" fontId="12" fillId="0" borderId="6" xfId="0" applyFont="1" applyBorder="1" applyAlignment="1">
      <alignment vertical="center" wrapText="1"/>
    </xf>
    <xf numFmtId="0" fontId="0" fillId="0" borderId="1" xfId="0" applyBorder="1" applyAlignment="1">
      <alignment vertical="top"/>
    </xf>
    <xf numFmtId="0" fontId="11" fillId="0" borderId="2" xfId="0" applyFont="1" applyBorder="1" applyAlignment="1">
      <alignment vertical="center"/>
    </xf>
    <xf numFmtId="0" fontId="14" fillId="0" borderId="0" xfId="0" applyFont="1" applyAlignment="1">
      <alignment vertical="center"/>
    </xf>
    <xf numFmtId="0" fontId="18" fillId="0" borderId="0" xfId="0" applyFont="1" applyAlignment="1">
      <alignment horizontal="left" vertical="center" indent="5"/>
    </xf>
    <xf numFmtId="0" fontId="4" fillId="0" borderId="5" xfId="0" applyFont="1" applyBorder="1" applyAlignment="1">
      <alignment vertical="center" wrapText="1"/>
    </xf>
    <xf numFmtId="0" fontId="4" fillId="0" borderId="6" xfId="0" applyFont="1" applyBorder="1" applyAlignment="1">
      <alignment vertical="center" wrapText="1"/>
    </xf>
    <xf numFmtId="165" fontId="6" fillId="0" borderId="6" xfId="1" applyFont="1" applyBorder="1" applyAlignment="1">
      <alignment vertical="center"/>
    </xf>
    <xf numFmtId="0" fontId="6" fillId="0" borderId="6" xfId="0" applyFont="1" applyBorder="1" applyAlignment="1">
      <alignment vertical="center"/>
    </xf>
    <xf numFmtId="0" fontId="19" fillId="0" borderId="0" xfId="0" applyFont="1" applyAlignment="1">
      <alignment vertical="center"/>
    </xf>
    <xf numFmtId="0" fontId="20" fillId="0" borderId="0" xfId="0" applyFont="1"/>
    <xf numFmtId="0" fontId="6" fillId="0" borderId="2" xfId="0" applyFont="1" applyBorder="1" applyAlignment="1">
      <alignment vertical="center"/>
    </xf>
    <xf numFmtId="0" fontId="21" fillId="0" borderId="0" xfId="0" applyFont="1"/>
    <xf numFmtId="0" fontId="22" fillId="0" borderId="9" xfId="0" applyFont="1" applyBorder="1" applyAlignment="1">
      <alignment vertical="center"/>
    </xf>
    <xf numFmtId="0" fontId="23" fillId="0" borderId="9" xfId="0" applyFont="1" applyBorder="1"/>
    <xf numFmtId="165" fontId="11" fillId="0" borderId="6" xfId="1" applyFont="1" applyBorder="1" applyAlignment="1">
      <alignment vertical="center"/>
    </xf>
    <xf numFmtId="0" fontId="23" fillId="0" borderId="0" xfId="0" applyFont="1"/>
    <xf numFmtId="0" fontId="11" fillId="0" borderId="1" xfId="0" applyFont="1" applyBorder="1" applyAlignment="1">
      <alignment vertical="center"/>
    </xf>
    <xf numFmtId="1" fontId="0" fillId="0" borderId="6" xfId="0" applyNumberFormat="1" applyBorder="1" applyAlignment="1">
      <alignment vertical="center"/>
    </xf>
    <xf numFmtId="166" fontId="0" fillId="0" borderId="6" xfId="0" applyNumberFormat="1" applyBorder="1" applyAlignment="1">
      <alignment vertical="center"/>
    </xf>
    <xf numFmtId="0" fontId="11" fillId="0" borderId="4" xfId="0" applyFont="1" applyBorder="1" applyAlignment="1">
      <alignment vertical="center" wrapText="1"/>
    </xf>
    <xf numFmtId="0" fontId="11" fillId="0" borderId="9" xfId="0" applyFont="1" applyBorder="1" applyAlignment="1">
      <alignment vertical="center" wrapText="1"/>
    </xf>
    <xf numFmtId="0" fontId="0" fillId="0" borderId="12" xfId="0" applyBorder="1" applyAlignment="1">
      <alignment vertical="center"/>
    </xf>
    <xf numFmtId="4" fontId="0" fillId="0" borderId="6" xfId="0" applyNumberFormat="1" applyBorder="1" applyAlignment="1">
      <alignment vertical="center"/>
    </xf>
    <xf numFmtId="167" fontId="6" fillId="0" borderId="0" xfId="0" applyNumberFormat="1" applyFont="1"/>
    <xf numFmtId="0" fontId="11" fillId="0" borderId="5" xfId="0" applyFont="1" applyBorder="1" applyAlignment="1">
      <alignment vertical="center"/>
    </xf>
    <xf numFmtId="165" fontId="11" fillId="0" borderId="6" xfId="1" applyFont="1" applyBorder="1" applyAlignment="1">
      <alignment vertical="center" wrapText="1"/>
    </xf>
    <xf numFmtId="165" fontId="11" fillId="0" borderId="9" xfId="1" applyFont="1" applyBorder="1" applyAlignment="1">
      <alignment vertical="center" wrapText="1"/>
    </xf>
    <xf numFmtId="0" fontId="11" fillId="0" borderId="11" xfId="0" applyFont="1" applyBorder="1" applyAlignment="1">
      <alignment vertical="center"/>
    </xf>
    <xf numFmtId="0" fontId="24" fillId="0" borderId="0" xfId="0" applyFont="1" applyAlignment="1">
      <alignment horizontal="left" vertical="center" indent="5"/>
    </xf>
    <xf numFmtId="0" fontId="12" fillId="0" borderId="0" xfId="0" applyFont="1"/>
    <xf numFmtId="165" fontId="0" fillId="0" borderId="6" xfId="1" applyFont="1" applyBorder="1" applyAlignment="1">
      <alignment vertical="center" wrapText="1"/>
    </xf>
    <xf numFmtId="165" fontId="0" fillId="0" borderId="6" xfId="0" applyNumberFormat="1" applyBorder="1" applyAlignment="1">
      <alignment vertical="center" wrapText="1"/>
    </xf>
    <xf numFmtId="0" fontId="11" fillId="0" borderId="5" xfId="0" applyFont="1" applyBorder="1" applyAlignment="1">
      <alignment vertical="center" wrapText="1"/>
    </xf>
    <xf numFmtId="0" fontId="25" fillId="0" borderId="1" xfId="0" applyFont="1" applyBorder="1" applyAlignment="1">
      <alignment vertical="center"/>
    </xf>
    <xf numFmtId="0" fontId="25" fillId="0" borderId="2" xfId="0" applyFont="1" applyBorder="1" applyAlignment="1">
      <alignment vertical="center" wrapText="1"/>
    </xf>
    <xf numFmtId="0" fontId="11" fillId="0" borderId="0" xfId="0" applyFont="1"/>
    <xf numFmtId="0" fontId="26" fillId="0" borderId="0" xfId="0" applyFont="1" applyAlignment="1">
      <alignment horizontal="left" vertical="center" indent="5"/>
    </xf>
    <xf numFmtId="0" fontId="15" fillId="0" borderId="1" xfId="0" applyFont="1" applyBorder="1" applyAlignment="1">
      <alignment vertical="center" wrapText="1"/>
    </xf>
    <xf numFmtId="0" fontId="15" fillId="0" borderId="2"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4" fontId="3" fillId="0" borderId="6" xfId="0" applyNumberFormat="1" applyFont="1" applyBorder="1" applyAlignment="1">
      <alignment vertical="center" wrapText="1"/>
    </xf>
    <xf numFmtId="0" fontId="15" fillId="0" borderId="6" xfId="0" applyFont="1" applyBorder="1" applyAlignment="1">
      <alignment vertical="center" wrapText="1"/>
    </xf>
    <xf numFmtId="0" fontId="27" fillId="0" borderId="0" xfId="0" applyFont="1"/>
    <xf numFmtId="14" fontId="16" fillId="0" borderId="0" xfId="0" applyNumberFormat="1" applyFont="1" applyAlignment="1">
      <alignment vertical="center"/>
    </xf>
    <xf numFmtId="4" fontId="15" fillId="0" borderId="6" xfId="0" applyNumberFormat="1" applyFont="1" applyBorder="1" applyAlignment="1">
      <alignment vertical="center" wrapText="1"/>
    </xf>
    <xf numFmtId="0" fontId="28" fillId="0" borderId="0" xfId="0" applyFont="1"/>
    <xf numFmtId="0" fontId="29" fillId="0" borderId="0" xfId="0" applyFont="1" applyAlignment="1">
      <alignment vertical="center"/>
    </xf>
    <xf numFmtId="0" fontId="30" fillId="0" borderId="1" xfId="0" applyFont="1" applyBorder="1" applyAlignment="1">
      <alignment vertical="center"/>
    </xf>
    <xf numFmtId="0" fontId="30" fillId="0" borderId="2" xfId="0" applyFont="1" applyBorder="1" applyAlignment="1">
      <alignment vertical="center" wrapText="1"/>
    </xf>
    <xf numFmtId="0" fontId="30" fillId="0" borderId="5" xfId="0" applyFont="1" applyBorder="1" applyAlignment="1">
      <alignment vertical="center"/>
    </xf>
    <xf numFmtId="0" fontId="30" fillId="0" borderId="6" xfId="0" applyFont="1" applyBorder="1" applyAlignment="1">
      <alignment vertical="center" wrapText="1"/>
    </xf>
    <xf numFmtId="0" fontId="31" fillId="0" borderId="5" xfId="0" applyFont="1" applyBorder="1" applyAlignment="1">
      <alignment vertical="center"/>
    </xf>
    <xf numFmtId="0" fontId="31" fillId="0" borderId="6" xfId="0" applyFont="1" applyBorder="1" applyAlignment="1">
      <alignment vertical="center" wrapText="1"/>
    </xf>
    <xf numFmtId="0" fontId="32" fillId="0" borderId="0" xfId="0" applyFont="1" applyAlignment="1">
      <alignment vertical="center"/>
    </xf>
    <xf numFmtId="0" fontId="30" fillId="0" borderId="5" xfId="0" applyFont="1" applyBorder="1" applyAlignment="1">
      <alignment horizontal="right" vertical="center"/>
    </xf>
    <xf numFmtId="0" fontId="30" fillId="0" borderId="6" xfId="0" applyFont="1" applyBorder="1" applyAlignment="1">
      <alignment vertical="center"/>
    </xf>
    <xf numFmtId="0" fontId="31" fillId="0" borderId="0" xfId="0" applyFont="1" applyAlignment="1">
      <alignment vertical="center"/>
    </xf>
    <xf numFmtId="14" fontId="3" fillId="0" borderId="9" xfId="0" applyNumberFormat="1" applyFont="1" applyBorder="1" applyAlignment="1">
      <alignment vertical="center" wrapText="1"/>
    </xf>
    <xf numFmtId="43" fontId="3" fillId="0" borderId="9" xfId="1" applyNumberFormat="1" applyFont="1" applyFill="1" applyBorder="1" applyAlignment="1">
      <alignment vertical="center" wrapText="1"/>
    </xf>
    <xf numFmtId="10" fontId="3" fillId="0" borderId="9" xfId="0" applyNumberFormat="1" applyFont="1" applyBorder="1" applyAlignment="1">
      <alignment vertical="center" wrapText="1"/>
    </xf>
    <xf numFmtId="43" fontId="3" fillId="0" borderId="9" xfId="0" applyNumberFormat="1" applyFont="1" applyBorder="1" applyAlignment="1">
      <alignment vertical="center" wrapText="1"/>
    </xf>
    <xf numFmtId="0" fontId="16" fillId="0" borderId="9" xfId="0" applyFont="1" applyBorder="1" applyAlignment="1">
      <alignment vertical="center" wrapText="1"/>
    </xf>
    <xf numFmtId="4" fontId="3" fillId="0" borderId="9" xfId="0" applyNumberFormat="1" applyFont="1" applyBorder="1"/>
    <xf numFmtId="10" fontId="3" fillId="0" borderId="9" xfId="0" applyNumberFormat="1" applyFont="1" applyBorder="1"/>
    <xf numFmtId="43" fontId="16" fillId="0" borderId="9" xfId="1" applyNumberFormat="1" applyFont="1" applyFill="1" applyBorder="1" applyAlignment="1">
      <alignment vertical="center" wrapText="1"/>
    </xf>
    <xf numFmtId="10" fontId="16" fillId="0" borderId="9" xfId="0" applyNumberFormat="1" applyFont="1" applyBorder="1" applyAlignment="1">
      <alignment vertical="center"/>
    </xf>
    <xf numFmtId="43" fontId="16" fillId="0" borderId="9" xfId="0" applyNumberFormat="1" applyFont="1" applyBorder="1" applyAlignment="1">
      <alignment vertical="center" wrapText="1"/>
    </xf>
    <xf numFmtId="0" fontId="16" fillId="0" borderId="9" xfId="0" applyFont="1" applyBorder="1"/>
    <xf numFmtId="165" fontId="3" fillId="0" borderId="9" xfId="1" applyFont="1" applyFill="1" applyBorder="1" applyAlignment="1"/>
    <xf numFmtId="0" fontId="3" fillId="0" borderId="9" xfId="0" applyFont="1" applyBorder="1" applyAlignment="1">
      <alignment wrapText="1"/>
    </xf>
    <xf numFmtId="17" fontId="3" fillId="0" borderId="0" xfId="0" applyNumberFormat="1" applyFont="1"/>
    <xf numFmtId="43" fontId="15" fillId="0" borderId="9" xfId="0" applyNumberFormat="1" applyFont="1" applyBorder="1"/>
    <xf numFmtId="0" fontId="35" fillId="0" borderId="0" xfId="0" applyFont="1" applyAlignment="1">
      <alignment horizontal="left" vertical="center" indent="5"/>
    </xf>
    <xf numFmtId="0" fontId="36" fillId="0" borderId="2" xfId="0" applyFont="1" applyBorder="1" applyAlignment="1">
      <alignment vertical="center" wrapText="1"/>
    </xf>
    <xf numFmtId="0" fontId="10" fillId="0" borderId="5" xfId="0" applyFont="1" applyBorder="1" applyAlignment="1">
      <alignment vertical="center"/>
    </xf>
    <xf numFmtId="0" fontId="25" fillId="0" borderId="9" xfId="0" applyFont="1" applyBorder="1"/>
    <xf numFmtId="0" fontId="33" fillId="0" borderId="9" xfId="0" applyFont="1" applyBorder="1" applyAlignment="1">
      <alignment vertical="center" wrapText="1"/>
    </xf>
    <xf numFmtId="0" fontId="25" fillId="0" borderId="9" xfId="0" applyFont="1" applyBorder="1" applyAlignment="1">
      <alignment vertical="center" wrapText="1"/>
    </xf>
    <xf numFmtId="0" fontId="34" fillId="0" borderId="9" xfId="0" applyFont="1" applyBorder="1" applyAlignment="1">
      <alignment vertical="center" wrapText="1"/>
    </xf>
    <xf numFmtId="0" fontId="10" fillId="0" borderId="7" xfId="0" applyFont="1" applyBorder="1" applyAlignment="1">
      <alignment vertical="center"/>
    </xf>
    <xf numFmtId="0" fontId="25" fillId="0" borderId="10" xfId="0" applyFont="1" applyBorder="1"/>
    <xf numFmtId="0" fontId="33" fillId="0" borderId="10" xfId="0" applyFont="1" applyBorder="1" applyAlignment="1">
      <alignment vertical="center" wrapText="1"/>
    </xf>
    <xf numFmtId="0" fontId="34" fillId="0" borderId="10" xfId="0" applyFont="1" applyBorder="1" applyAlignment="1">
      <alignment vertical="center" wrapText="1"/>
    </xf>
    <xf numFmtId="0" fontId="33" fillId="0" borderId="9" xfId="0" applyFont="1" applyBorder="1"/>
    <xf numFmtId="0" fontId="34" fillId="0" borderId="9" xfId="0" applyFont="1" applyBorder="1"/>
    <xf numFmtId="0" fontId="33" fillId="0" borderId="9" xfId="0" applyFont="1" applyBorder="1" applyAlignment="1">
      <alignment wrapText="1"/>
    </xf>
    <xf numFmtId="4" fontId="25" fillId="0" borderId="9" xfId="0" applyNumberFormat="1" applyFont="1" applyBorder="1"/>
    <xf numFmtId="9" fontId="33" fillId="0" borderId="9" xfId="0" applyNumberFormat="1" applyFont="1" applyBorder="1" applyAlignment="1">
      <alignment vertical="center" wrapText="1"/>
    </xf>
    <xf numFmtId="165" fontId="10" fillId="0" borderId="6" xfId="1" applyFont="1" applyBorder="1" applyAlignment="1">
      <alignment vertical="center" wrapText="1"/>
    </xf>
    <xf numFmtId="4" fontId="25" fillId="0" borderId="10" xfId="0" applyNumberFormat="1" applyFont="1" applyBorder="1"/>
    <xf numFmtId="9" fontId="33" fillId="0" borderId="10" xfId="0" applyNumberFormat="1" applyFont="1" applyBorder="1" applyAlignment="1">
      <alignment vertical="center" wrapText="1"/>
    </xf>
    <xf numFmtId="4" fontId="11" fillId="0" borderId="9" xfId="0" applyNumberFormat="1" applyFont="1" applyBorder="1"/>
    <xf numFmtId="165" fontId="0" fillId="0" borderId="9" xfId="0" applyNumberFormat="1" applyBorder="1"/>
    <xf numFmtId="0" fontId="10" fillId="0" borderId="6" xfId="0" applyFont="1" applyBorder="1" applyAlignment="1">
      <alignment vertical="center" wrapText="1"/>
    </xf>
    <xf numFmtId="0" fontId="33" fillId="0" borderId="6" xfId="0" applyFont="1" applyBorder="1" applyAlignment="1">
      <alignment vertical="center" wrapText="1"/>
    </xf>
    <xf numFmtId="0" fontId="10" fillId="0" borderId="8" xfId="0" applyFont="1" applyBorder="1" applyAlignment="1">
      <alignment vertical="center" wrapText="1"/>
    </xf>
    <xf numFmtId="0" fontId="33" fillId="0" borderId="8" xfId="0" applyFont="1" applyBorder="1" applyAlignment="1">
      <alignment vertical="center" wrapText="1"/>
    </xf>
    <xf numFmtId="0" fontId="10" fillId="0" borderId="9" xfId="0" applyFont="1" applyBorder="1" applyAlignment="1">
      <alignment vertical="center" wrapText="1"/>
    </xf>
    <xf numFmtId="0" fontId="37" fillId="0" borderId="1" xfId="0" applyFont="1" applyBorder="1" applyAlignment="1">
      <alignment vertical="center" wrapText="1"/>
    </xf>
    <xf numFmtId="0" fontId="37" fillId="0" borderId="2" xfId="0" applyFont="1" applyBorder="1" applyAlignment="1">
      <alignment vertical="center" wrapText="1"/>
    </xf>
    <xf numFmtId="0" fontId="38" fillId="0" borderId="5" xfId="0" applyFont="1" applyBorder="1" applyAlignment="1">
      <alignment horizontal="right" vertical="center"/>
    </xf>
    <xf numFmtId="0" fontId="39" fillId="0" borderId="6" xfId="0" applyFont="1" applyBorder="1" applyAlignment="1">
      <alignment vertical="center"/>
    </xf>
    <xf numFmtId="0" fontId="38" fillId="0" borderId="6" xfId="0" applyFont="1" applyBorder="1" applyAlignment="1">
      <alignment vertical="center"/>
    </xf>
    <xf numFmtId="0" fontId="38" fillId="0" borderId="6" xfId="0" applyFont="1" applyBorder="1" applyAlignment="1">
      <alignment vertical="center" wrapText="1"/>
    </xf>
    <xf numFmtId="0" fontId="37" fillId="0" borderId="6" xfId="0" applyFont="1" applyBorder="1" applyAlignment="1">
      <alignment vertical="center" wrapText="1"/>
    </xf>
    <xf numFmtId="0" fontId="40" fillId="0" borderId="5" xfId="0" applyFont="1" applyBorder="1" applyAlignment="1">
      <alignment vertical="center"/>
    </xf>
    <xf numFmtId="0" fontId="37" fillId="0" borderId="5" xfId="0" applyFont="1" applyBorder="1" applyAlignment="1">
      <alignment vertical="center"/>
    </xf>
    <xf numFmtId="0" fontId="37" fillId="0" borderId="6" xfId="0" applyFont="1" applyBorder="1" applyAlignment="1">
      <alignment vertical="center"/>
    </xf>
    <xf numFmtId="0" fontId="38" fillId="0" borderId="5" xfId="0" applyFont="1" applyBorder="1" applyAlignment="1">
      <alignment vertical="center"/>
    </xf>
    <xf numFmtId="0" fontId="37" fillId="0" borderId="4" xfId="0" applyFont="1" applyBorder="1" applyAlignment="1">
      <alignment vertical="center" wrapText="1"/>
    </xf>
    <xf numFmtId="0" fontId="40" fillId="0" borderId="6" xfId="0" applyFont="1" applyBorder="1" applyAlignment="1">
      <alignment vertical="center" wrapText="1"/>
    </xf>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vertical="center"/>
    </xf>
    <xf numFmtId="0" fontId="41" fillId="0" borderId="0" xfId="2" quotePrefix="1"/>
    <xf numFmtId="2" fontId="25" fillId="0" borderId="9" xfId="0" applyNumberFormat="1" applyFont="1" applyBorder="1" applyAlignment="1">
      <alignment horizontal="left"/>
    </xf>
    <xf numFmtId="0" fontId="50" fillId="0" borderId="9" xfId="20" applyFont="1" applyBorder="1" applyAlignment="1">
      <alignment horizontal="left" vertical="center" indent="5"/>
    </xf>
    <xf numFmtId="0" fontId="52" fillId="0" borderId="9" xfId="20" applyFont="1" applyBorder="1"/>
    <xf numFmtId="0" fontId="53" fillId="0" borderId="0" xfId="20" applyFont="1"/>
    <xf numFmtId="0" fontId="2" fillId="0" borderId="0" xfId="20"/>
    <xf numFmtId="0" fontId="52" fillId="0" borderId="9" xfId="20" applyFont="1" applyBorder="1" applyAlignment="1">
      <alignment vertical="top" wrapText="1"/>
    </xf>
    <xf numFmtId="0" fontId="54" fillId="0" borderId="9" xfId="20" applyFont="1" applyBorder="1" applyAlignment="1">
      <alignment vertical="center" wrapText="1"/>
    </xf>
    <xf numFmtId="0" fontId="55" fillId="0" borderId="9" xfId="20" applyFont="1" applyBorder="1" applyAlignment="1">
      <alignment vertical="center" wrapText="1"/>
    </xf>
    <xf numFmtId="0" fontId="57" fillId="0" borderId="0" xfId="20" applyFont="1" applyAlignment="1">
      <alignment vertical="center"/>
    </xf>
    <xf numFmtId="0" fontId="58" fillId="0" borderId="0" xfId="20" applyFont="1"/>
    <xf numFmtId="0" fontId="59" fillId="0" borderId="0" xfId="20" applyFont="1"/>
    <xf numFmtId="0" fontId="60" fillId="2" borderId="9" xfId="20" applyFont="1" applyFill="1" applyBorder="1"/>
    <xf numFmtId="0" fontId="60" fillId="2" borderId="0" xfId="20" applyFont="1" applyFill="1"/>
    <xf numFmtId="0" fontId="60" fillId="2" borderId="9" xfId="20" applyFont="1" applyFill="1" applyBorder="1" applyAlignment="1">
      <alignment vertical="center" wrapText="1"/>
    </xf>
    <xf numFmtId="10" fontId="60" fillId="2" borderId="9" xfId="20" applyNumberFormat="1" applyFont="1" applyFill="1" applyBorder="1" applyAlignment="1">
      <alignment vertical="center" wrapText="1"/>
    </xf>
    <xf numFmtId="0" fontId="61" fillId="2" borderId="9" xfId="20" applyFont="1" applyFill="1" applyBorder="1" applyAlignment="1">
      <alignment vertical="center" wrapText="1"/>
    </xf>
    <xf numFmtId="165" fontId="60" fillId="2" borderId="9" xfId="21" applyFont="1" applyFill="1" applyBorder="1" applyAlignment="1">
      <alignment vertical="center" wrapText="1"/>
    </xf>
    <xf numFmtId="165" fontId="61" fillId="2" borderId="9" xfId="21" applyFont="1" applyFill="1" applyBorder="1" applyAlignment="1">
      <alignment vertical="center" wrapText="1"/>
    </xf>
    <xf numFmtId="0" fontId="60" fillId="2" borderId="9" xfId="20" applyFont="1" applyFill="1" applyBorder="1" applyAlignment="1">
      <alignment wrapText="1"/>
    </xf>
    <xf numFmtId="1" fontId="60" fillId="2" borderId="9" xfId="20" applyNumberFormat="1" applyFont="1" applyFill="1" applyBorder="1"/>
    <xf numFmtId="165" fontId="60" fillId="2" borderId="9" xfId="21" applyFont="1" applyFill="1" applyBorder="1" applyAlignment="1"/>
    <xf numFmtId="0" fontId="60" fillId="2" borderId="9" xfId="20" applyFont="1" applyFill="1" applyBorder="1" applyAlignment="1">
      <alignment horizontal="center"/>
    </xf>
    <xf numFmtId="0" fontId="60" fillId="2" borderId="9" xfId="20" applyFont="1" applyFill="1" applyBorder="1" applyAlignment="1">
      <alignment wrapText="1" shrinkToFit="1"/>
    </xf>
    <xf numFmtId="10" fontId="60" fillId="2" borderId="9" xfId="20" applyNumberFormat="1" applyFont="1" applyFill="1" applyBorder="1"/>
    <xf numFmtId="0" fontId="49" fillId="0" borderId="9" xfId="20" applyFont="1" applyBorder="1"/>
    <xf numFmtId="165" fontId="49" fillId="0" borderId="9" xfId="20" applyNumberFormat="1" applyFont="1" applyBorder="1"/>
    <xf numFmtId="165" fontId="56" fillId="0" borderId="9" xfId="20" applyNumberFormat="1" applyFont="1" applyBorder="1"/>
    <xf numFmtId="0" fontId="49" fillId="0" borderId="0" xfId="20" applyFont="1"/>
    <xf numFmtId="0" fontId="62" fillId="0" borderId="0" xfId="20" applyFont="1"/>
    <xf numFmtId="0" fontId="52" fillId="0" borderId="0" xfId="20" applyFont="1"/>
    <xf numFmtId="0" fontId="63" fillId="0" borderId="12" xfId="20" applyFont="1" applyBorder="1" applyAlignment="1">
      <alignment vertical="center"/>
    </xf>
    <xf numFmtId="0" fontId="64" fillId="0" borderId="0" xfId="20" applyFont="1"/>
    <xf numFmtId="1" fontId="2" fillId="0" borderId="0" xfId="20" applyNumberFormat="1"/>
    <xf numFmtId="0" fontId="2" fillId="2" borderId="0" xfId="20" applyFill="1"/>
    <xf numFmtId="168" fontId="0" fillId="0" borderId="0" xfId="21" applyNumberFormat="1" applyFont="1" applyAlignment="1"/>
    <xf numFmtId="0" fontId="65" fillId="0" borderId="13" xfId="20" applyFont="1" applyBorder="1" applyAlignment="1">
      <alignment vertical="center"/>
    </xf>
    <xf numFmtId="0" fontId="65" fillId="0" borderId="11" xfId="20" applyFont="1" applyBorder="1" applyAlignment="1">
      <alignment vertical="center" wrapText="1"/>
    </xf>
    <xf numFmtId="1" fontId="65" fillId="0" borderId="11" xfId="20" applyNumberFormat="1" applyFont="1" applyBorder="1" applyAlignment="1">
      <alignment vertical="center" wrapText="1"/>
    </xf>
    <xf numFmtId="0" fontId="65" fillId="2" borderId="11" xfId="20" applyFont="1" applyFill="1" applyBorder="1" applyAlignment="1">
      <alignment vertical="center" wrapText="1"/>
    </xf>
    <xf numFmtId="168" fontId="65" fillId="0" borderId="11" xfId="21" applyNumberFormat="1" applyFont="1" applyBorder="1" applyAlignment="1">
      <alignment vertical="center" wrapText="1"/>
    </xf>
    <xf numFmtId="0" fontId="66" fillId="0" borderId="9" xfId="20" applyFont="1" applyBorder="1" applyAlignment="1">
      <alignment vertical="center"/>
    </xf>
    <xf numFmtId="0" fontId="66" fillId="0" borderId="9" xfId="20" applyFont="1" applyBorder="1" applyAlignment="1">
      <alignment vertical="center" wrapText="1"/>
    </xf>
    <xf numFmtId="1" fontId="66" fillId="0" borderId="9" xfId="20" applyNumberFormat="1" applyFont="1" applyBorder="1" applyAlignment="1">
      <alignment vertical="center" wrapText="1"/>
    </xf>
    <xf numFmtId="0" fontId="66" fillId="2" borderId="9" xfId="20" applyFont="1" applyFill="1" applyBorder="1" applyAlignment="1">
      <alignment vertical="center" wrapText="1"/>
    </xf>
    <xf numFmtId="164" fontId="66" fillId="2" borderId="9" xfId="21" applyNumberFormat="1" applyFont="1" applyFill="1" applyBorder="1" applyAlignment="1">
      <alignment vertical="center" wrapText="1"/>
    </xf>
    <xf numFmtId="9" fontId="66" fillId="0" borderId="9" xfId="22" applyFont="1" applyBorder="1" applyAlignment="1">
      <alignment vertical="center" wrapText="1"/>
    </xf>
    <xf numFmtId="168" fontId="66" fillId="0" borderId="9" xfId="21" applyNumberFormat="1" applyFont="1" applyBorder="1" applyAlignment="1">
      <alignment vertical="center" wrapText="1"/>
    </xf>
    <xf numFmtId="165" fontId="66" fillId="0" borderId="9" xfId="21" applyFont="1" applyBorder="1" applyAlignment="1">
      <alignment vertical="center" wrapText="1"/>
    </xf>
    <xf numFmtId="10" fontId="66" fillId="0" borderId="9" xfId="20" applyNumberFormat="1" applyFont="1" applyBorder="1" applyAlignment="1">
      <alignment vertical="center" wrapText="1"/>
    </xf>
    <xf numFmtId="0" fontId="66" fillId="0" borderId="9" xfId="20" applyFont="1" applyBorder="1"/>
    <xf numFmtId="164" fontId="66" fillId="2" borderId="9" xfId="21" applyNumberFormat="1" applyFont="1" applyFill="1" applyBorder="1" applyAlignment="1">
      <alignment vertical="center"/>
    </xf>
    <xf numFmtId="164" fontId="66" fillId="2" borderId="9" xfId="21" applyNumberFormat="1" applyFont="1" applyFill="1" applyBorder="1" applyAlignment="1">
      <alignment horizontal="right"/>
    </xf>
    <xf numFmtId="1" fontId="66" fillId="2" borderId="9" xfId="20" applyNumberFormat="1" applyFont="1" applyFill="1" applyBorder="1" applyAlignment="1">
      <alignment vertical="center" wrapText="1"/>
    </xf>
    <xf numFmtId="164" fontId="66" fillId="2" borderId="9" xfId="21" applyNumberFormat="1" applyFont="1" applyFill="1" applyBorder="1" applyAlignment="1"/>
    <xf numFmtId="0" fontId="66" fillId="2" borderId="9" xfId="20" applyFont="1" applyFill="1" applyBorder="1" applyAlignment="1">
      <alignment horizontal="center"/>
    </xf>
    <xf numFmtId="4" fontId="66" fillId="0" borderId="9" xfId="20" applyNumberFormat="1" applyFont="1" applyBorder="1"/>
    <xf numFmtId="0" fontId="66" fillId="2" borderId="9" xfId="20" applyFont="1" applyFill="1" applyBorder="1" applyAlignment="1">
      <alignment wrapText="1"/>
    </xf>
    <xf numFmtId="1" fontId="66" fillId="0" borderId="9" xfId="20" applyNumberFormat="1" applyFont="1" applyBorder="1"/>
    <xf numFmtId="0" fontId="66" fillId="0" borderId="9" xfId="20" applyFont="1" applyBorder="1" applyAlignment="1">
      <alignment wrapText="1"/>
    </xf>
    <xf numFmtId="0" fontId="66" fillId="2" borderId="9" xfId="20" applyFont="1" applyFill="1" applyBorder="1"/>
    <xf numFmtId="0" fontId="67" fillId="2" borderId="9" xfId="20" applyFont="1" applyFill="1" applyBorder="1" applyAlignment="1">
      <alignment wrapText="1"/>
    </xf>
    <xf numFmtId="1" fontId="68" fillId="2" borderId="9" xfId="20" applyNumberFormat="1" applyFont="1" applyFill="1" applyBorder="1" applyAlignment="1">
      <alignment vertical="center" wrapText="1"/>
    </xf>
    <xf numFmtId="0" fontId="68" fillId="2" borderId="9" xfId="20" applyFont="1" applyFill="1" applyBorder="1" applyAlignment="1">
      <alignment vertical="center" wrapText="1"/>
    </xf>
    <xf numFmtId="0" fontId="68" fillId="0" borderId="9" xfId="20" applyFont="1" applyBorder="1" applyAlignment="1">
      <alignment vertical="center" wrapText="1"/>
    </xf>
    <xf numFmtId="164" fontId="68" fillId="2" borderId="9" xfId="21" applyNumberFormat="1" applyFont="1" applyFill="1" applyBorder="1" applyAlignment="1"/>
    <xf numFmtId="10" fontId="68" fillId="0" borderId="9" xfId="20" applyNumberFormat="1" applyFont="1" applyBorder="1" applyAlignment="1">
      <alignment vertical="center" wrapText="1"/>
    </xf>
    <xf numFmtId="0" fontId="68" fillId="2" borderId="9" xfId="20" applyFont="1" applyFill="1" applyBorder="1"/>
    <xf numFmtId="1" fontId="69" fillId="2" borderId="9" xfId="20" applyNumberFormat="1" applyFont="1" applyFill="1" applyBorder="1"/>
    <xf numFmtId="164" fontId="69" fillId="2" borderId="9" xfId="21" applyNumberFormat="1" applyFont="1" applyFill="1" applyBorder="1" applyAlignment="1">
      <alignment horizontal="right"/>
    </xf>
    <xf numFmtId="1" fontId="66" fillId="2" borderId="9" xfId="20" applyNumberFormat="1" applyFont="1" applyFill="1" applyBorder="1"/>
    <xf numFmtId="0" fontId="69" fillId="2" borderId="9" xfId="20" applyFont="1" applyFill="1" applyBorder="1" applyAlignment="1">
      <alignment wrapText="1"/>
    </xf>
    <xf numFmtId="169" fontId="66" fillId="2" borderId="9" xfId="21" applyNumberFormat="1" applyFont="1" applyFill="1" applyBorder="1" applyAlignment="1"/>
    <xf numFmtId="1" fontId="70" fillId="2" borderId="9" xfId="20" applyNumberFormat="1" applyFont="1" applyFill="1" applyBorder="1"/>
    <xf numFmtId="169" fontId="66" fillId="0" borderId="9" xfId="21" applyNumberFormat="1" applyFont="1" applyFill="1" applyBorder="1" applyAlignment="1"/>
    <xf numFmtId="0" fontId="66" fillId="2" borderId="9" xfId="20" applyFont="1" applyFill="1" applyBorder="1" applyAlignment="1">
      <alignment vertical="center"/>
    </xf>
    <xf numFmtId="10" fontId="66" fillId="2" borderId="9" xfId="20" applyNumberFormat="1" applyFont="1" applyFill="1" applyBorder="1" applyAlignment="1">
      <alignment vertical="center" wrapText="1"/>
    </xf>
    <xf numFmtId="0" fontId="69" fillId="2" borderId="9" xfId="20" applyFont="1" applyFill="1" applyBorder="1" applyAlignment="1">
      <alignment vertical="center" wrapText="1"/>
    </xf>
    <xf numFmtId="1" fontId="70" fillId="0" borderId="9" xfId="20" applyNumberFormat="1" applyFont="1" applyBorder="1"/>
    <xf numFmtId="0" fontId="69" fillId="0" borderId="9" xfId="20" applyFont="1" applyBorder="1" applyAlignment="1">
      <alignment vertical="center" wrapText="1"/>
    </xf>
    <xf numFmtId="1" fontId="69" fillId="3" borderId="9" xfId="20" applyNumberFormat="1" applyFont="1" applyFill="1" applyBorder="1" applyAlignment="1">
      <alignment vertical="center" wrapText="1"/>
    </xf>
    <xf numFmtId="4" fontId="66" fillId="2" borderId="9" xfId="20" applyNumberFormat="1" applyFont="1" applyFill="1" applyBorder="1"/>
    <xf numFmtId="3" fontId="66" fillId="2" borderId="9" xfId="20" applyNumberFormat="1" applyFont="1" applyFill="1" applyBorder="1"/>
    <xf numFmtId="1" fontId="66" fillId="0" borderId="9" xfId="20" applyNumberFormat="1" applyFont="1" applyBorder="1" applyProtection="1">
      <protection locked="0"/>
    </xf>
    <xf numFmtId="1" fontId="66" fillId="0" borderId="9" xfId="20" applyNumberFormat="1" applyFont="1" applyBorder="1" applyAlignment="1">
      <alignment vertical="center"/>
    </xf>
    <xf numFmtId="1" fontId="66" fillId="0" borderId="9" xfId="20" applyNumberFormat="1" applyFont="1" applyBorder="1" applyAlignment="1">
      <alignment wrapText="1"/>
    </xf>
    <xf numFmtId="0" fontId="70" fillId="0" borderId="9" xfId="20" applyFont="1" applyBorder="1"/>
    <xf numFmtId="0" fontId="70" fillId="0" borderId="9" xfId="20" applyFont="1" applyBorder="1" applyAlignment="1">
      <alignment vertical="center" wrapText="1"/>
    </xf>
    <xf numFmtId="43" fontId="70" fillId="0" borderId="9" xfId="21" applyNumberFormat="1" applyFont="1" applyBorder="1" applyAlignment="1">
      <alignment vertical="center" wrapText="1"/>
    </xf>
    <xf numFmtId="10" fontId="70" fillId="0" borderId="9" xfId="20" applyNumberFormat="1" applyFont="1" applyBorder="1" applyAlignment="1">
      <alignment vertical="center" wrapText="1"/>
    </xf>
    <xf numFmtId="0" fontId="2" fillId="0" borderId="9" xfId="20" applyBorder="1"/>
    <xf numFmtId="164" fontId="71" fillId="0" borderId="9" xfId="20" applyNumberFormat="1" applyFont="1" applyBorder="1"/>
    <xf numFmtId="164" fontId="2" fillId="0" borderId="0" xfId="20" applyNumberFormat="1"/>
    <xf numFmtId="0" fontId="72" fillId="0" borderId="9" xfId="0" applyFont="1" applyBorder="1" applyAlignment="1">
      <alignment wrapText="1"/>
    </xf>
    <xf numFmtId="0" fontId="72" fillId="0" borderId="9" xfId="0" applyFont="1" applyBorder="1"/>
    <xf numFmtId="0" fontId="66" fillId="0" borderId="9" xfId="21" applyNumberFormat="1" applyFont="1" applyBorder="1" applyAlignment="1">
      <alignment vertical="center" wrapText="1"/>
    </xf>
    <xf numFmtId="2" fontId="3" fillId="0" borderId="9" xfId="0" applyNumberFormat="1" applyFont="1" applyBorder="1" applyAlignment="1">
      <alignment vertical="center" wrapText="1"/>
    </xf>
    <xf numFmtId="165" fontId="3" fillId="0" borderId="9" xfId="1" applyFont="1" applyBorder="1" applyAlignment="1">
      <alignment vertical="center" wrapText="1"/>
    </xf>
    <xf numFmtId="0" fontId="52" fillId="0" borderId="9" xfId="20" applyFont="1" applyBorder="1" applyAlignment="1">
      <alignment vertical="center"/>
    </xf>
    <xf numFmtId="0" fontId="52" fillId="0" borderId="9" xfId="20" applyFont="1" applyBorder="1" applyAlignment="1">
      <alignment vertical="top"/>
    </xf>
    <xf numFmtId="4" fontId="52" fillId="0" borderId="9" xfId="20" applyNumberFormat="1" applyFont="1" applyBorder="1" applyAlignment="1">
      <alignment vertical="center"/>
    </xf>
    <xf numFmtId="165" fontId="52" fillId="0" borderId="9" xfId="21" applyFont="1" applyFill="1" applyBorder="1" applyAlignment="1">
      <alignment vertical="center"/>
    </xf>
    <xf numFmtId="43" fontId="52" fillId="0" borderId="9" xfId="20" applyNumberFormat="1" applyFont="1" applyBorder="1" applyAlignment="1">
      <alignment vertical="center"/>
    </xf>
    <xf numFmtId="165" fontId="52" fillId="0" borderId="9" xfId="20" applyNumberFormat="1" applyFont="1" applyBorder="1" applyAlignment="1">
      <alignment vertical="center"/>
    </xf>
    <xf numFmtId="0" fontId="66" fillId="0" borderId="9" xfId="15" applyFont="1" applyBorder="1" applyAlignment="1">
      <alignment wrapText="1"/>
    </xf>
    <xf numFmtId="0" fontId="61" fillId="0" borderId="9" xfId="0" applyFont="1" applyBorder="1" applyAlignment="1">
      <alignment wrapText="1"/>
    </xf>
    <xf numFmtId="0" fontId="66" fillId="0" borderId="9" xfId="15" applyFont="1" applyBorder="1"/>
    <xf numFmtId="1" fontId="3" fillId="0" borderId="9" xfId="0" applyNumberFormat="1" applyFont="1" applyBorder="1" applyAlignment="1">
      <alignment vertical="center" wrapText="1"/>
    </xf>
    <xf numFmtId="165" fontId="4" fillId="0" borderId="0" xfId="1" applyFont="1" applyAlignment="1">
      <alignment horizontal="right"/>
    </xf>
    <xf numFmtId="165" fontId="16" fillId="0" borderId="9" xfId="1" applyFont="1" applyBorder="1" applyAlignment="1">
      <alignment horizontal="right"/>
    </xf>
    <xf numFmtId="165" fontId="4" fillId="0" borderId="9" xfId="1" applyFont="1" applyBorder="1" applyAlignment="1">
      <alignment horizontal="right"/>
    </xf>
    <xf numFmtId="4" fontId="4" fillId="0" borderId="9" xfId="0" applyNumberFormat="1" applyFont="1" applyBorder="1"/>
    <xf numFmtId="3" fontId="4" fillId="0" borderId="9" xfId="0" applyNumberFormat="1" applyFont="1" applyBorder="1"/>
    <xf numFmtId="165" fontId="66" fillId="0" borderId="9" xfId="1" applyFont="1" applyBorder="1" applyAlignment="1">
      <alignment horizontal="right"/>
    </xf>
    <xf numFmtId="0" fontId="73" fillId="0" borderId="9" xfId="0" applyFont="1" applyBorder="1"/>
    <xf numFmtId="165" fontId="73" fillId="0" borderId="9" xfId="1" applyFont="1" applyBorder="1" applyAlignment="1">
      <alignment horizontal="right"/>
    </xf>
    <xf numFmtId="0" fontId="5" fillId="0" borderId="9" xfId="0" applyFont="1" applyBorder="1" applyAlignment="1">
      <alignment horizontal="left" vertical="center" indent="5"/>
    </xf>
    <xf numFmtId="0" fontId="11" fillId="0" borderId="9" xfId="0" applyFont="1" applyBorder="1" applyAlignment="1">
      <alignment vertical="center"/>
    </xf>
    <xf numFmtId="0" fontId="1" fillId="0" borderId="9" xfId="0" applyFont="1" applyBorder="1" applyAlignment="1">
      <alignment vertical="center"/>
    </xf>
    <xf numFmtId="0" fontId="1" fillId="0" borderId="9" xfId="0" applyFont="1" applyBorder="1"/>
    <xf numFmtId="17" fontId="0" fillId="0" borderId="9" xfId="0" applyNumberFormat="1" applyBorder="1" applyAlignment="1">
      <alignment vertical="center"/>
    </xf>
    <xf numFmtId="0" fontId="1" fillId="0" borderId="6" xfId="0" applyFont="1" applyBorder="1" applyAlignment="1">
      <alignment vertical="center"/>
    </xf>
    <xf numFmtId="3" fontId="0" fillId="0" borderId="6" xfId="0" applyNumberFormat="1" applyBorder="1" applyAlignment="1">
      <alignment vertical="center"/>
    </xf>
    <xf numFmtId="17" fontId="1" fillId="0" borderId="9" xfId="0" applyNumberFormat="1" applyFont="1" applyBorder="1" applyAlignment="1">
      <alignment vertical="center"/>
    </xf>
    <xf numFmtId="0" fontId="1" fillId="0" borderId="0" xfId="0" applyFont="1"/>
    <xf numFmtId="16" fontId="0" fillId="0" borderId="9" xfId="0" applyNumberFormat="1" applyBorder="1" applyAlignment="1">
      <alignment vertical="center"/>
    </xf>
    <xf numFmtId="3" fontId="1" fillId="0" borderId="6" xfId="0" applyNumberFormat="1" applyFont="1" applyBorder="1" applyAlignment="1">
      <alignment vertical="center"/>
    </xf>
    <xf numFmtId="0" fontId="0" fillId="0" borderId="14" xfId="0" applyBorder="1" applyAlignment="1">
      <alignment vertical="center"/>
    </xf>
    <xf numFmtId="0" fontId="0" fillId="0" borderId="15" xfId="0" applyBorder="1" applyAlignment="1">
      <alignment vertical="center"/>
    </xf>
    <xf numFmtId="16" fontId="0" fillId="0" borderId="0" xfId="0" applyNumberFormat="1"/>
    <xf numFmtId="3" fontId="0" fillId="0" borderId="0" xfId="0" applyNumberFormat="1"/>
    <xf numFmtId="3" fontId="0" fillId="0" borderId="8" xfId="0" applyNumberFormat="1" applyBorder="1" applyAlignment="1">
      <alignment vertical="center"/>
    </xf>
    <xf numFmtId="0" fontId="14" fillId="0" borderId="0" xfId="20" applyFont="1"/>
    <xf numFmtId="0" fontId="20" fillId="0" borderId="0" xfId="20" applyFont="1"/>
    <xf numFmtId="0" fontId="74" fillId="0" borderId="9" xfId="0" applyFont="1" applyBorder="1"/>
    <xf numFmtId="0" fontId="75" fillId="0" borderId="0" xfId="20" applyFont="1" applyAlignment="1">
      <alignment vertical="center"/>
    </xf>
    <xf numFmtId="168" fontId="59" fillId="0" borderId="0" xfId="21" applyNumberFormat="1" applyFont="1" applyAlignment="1"/>
    <xf numFmtId="0" fontId="74" fillId="0" borderId="0" xfId="0" applyFont="1" applyAlignment="1">
      <alignment vertical="center"/>
    </xf>
    <xf numFmtId="0" fontId="74" fillId="0" borderId="0" xfId="0" applyFont="1"/>
    <xf numFmtId="4" fontId="74" fillId="0" borderId="0" xfId="0" applyNumberFormat="1" applyFont="1"/>
    <xf numFmtId="0" fontId="33" fillId="0" borderId="1" xfId="0" applyFont="1" applyBorder="1" applyAlignment="1">
      <alignment vertical="center"/>
    </xf>
    <xf numFmtId="0" fontId="33" fillId="0" borderId="2" xfId="0" applyFont="1" applyBorder="1" applyAlignment="1">
      <alignment vertical="center" wrapText="1"/>
    </xf>
    <xf numFmtId="0" fontId="37" fillId="0" borderId="3" xfId="0" applyFont="1" applyBorder="1" applyAlignment="1">
      <alignment horizontal="center" vertical="center" wrapText="1"/>
    </xf>
    <xf numFmtId="0" fontId="37" fillId="0" borderId="4" xfId="0" applyFont="1" applyBorder="1" applyAlignment="1">
      <alignment horizontal="center" vertical="center" wrapText="1"/>
    </xf>
    <xf numFmtId="0" fontId="37" fillId="0" borderId="2" xfId="0" applyFont="1" applyBorder="1" applyAlignment="1">
      <alignment horizontal="center" vertical="center" wrapText="1"/>
    </xf>
    <xf numFmtId="0" fontId="37" fillId="0" borderId="13" xfId="0" applyFont="1" applyBorder="1" applyAlignment="1">
      <alignment vertical="center" wrapText="1"/>
    </xf>
    <xf numFmtId="0" fontId="37" fillId="0" borderId="5" xfId="0" applyFont="1" applyBorder="1" applyAlignment="1">
      <alignment vertical="center" wrapText="1"/>
    </xf>
    <xf numFmtId="0" fontId="16" fillId="0" borderId="0" xfId="0" applyFont="1" applyAlignment="1">
      <alignment vertical="center"/>
    </xf>
    <xf numFmtId="0" fontId="11" fillId="0" borderId="3" xfId="0" applyFont="1" applyBorder="1" applyAlignment="1">
      <alignment vertical="center" wrapText="1"/>
    </xf>
    <xf numFmtId="0" fontId="11" fillId="0" borderId="4" xfId="0" applyFont="1" applyBorder="1" applyAlignment="1">
      <alignment vertical="center" wrapText="1"/>
    </xf>
    <xf numFmtId="0" fontId="11" fillId="0" borderId="2" xfId="0" applyFont="1" applyBorder="1" applyAlignment="1">
      <alignment vertical="center" wrapText="1"/>
    </xf>
    <xf numFmtId="0" fontId="54" fillId="0" borderId="9" xfId="20" applyFont="1" applyBorder="1" applyAlignment="1">
      <alignment vertical="center" wrapText="1"/>
    </xf>
  </cellXfs>
  <cellStyles count="23">
    <cellStyle name="Comma" xfId="1" builtinId="3"/>
    <cellStyle name="Comma 2" xfId="3" xr:uid="{00000000-0005-0000-0000-000031000000}"/>
    <cellStyle name="Comma 2 2" xfId="4" xr:uid="{00000000-0005-0000-0000-000032000000}"/>
    <cellStyle name="Comma 3" xfId="5" xr:uid="{00000000-0005-0000-0000-000033000000}"/>
    <cellStyle name="Comma 3 2" xfId="6" xr:uid="{00000000-0005-0000-0000-000034000000}"/>
    <cellStyle name="Comma 4" xfId="7" xr:uid="{00000000-0005-0000-0000-000035000000}"/>
    <cellStyle name="Comma 5" xfId="21" xr:uid="{AE495A70-0F14-411B-9048-5FE8C7D1C258}"/>
    <cellStyle name="Hyperlink" xfId="2" builtinId="8"/>
    <cellStyle name="Normal" xfId="0" builtinId="0"/>
    <cellStyle name="Normal 2" xfId="8" xr:uid="{00000000-0005-0000-0000-000036000000}"/>
    <cellStyle name="Normal 2 2" xfId="9" xr:uid="{00000000-0005-0000-0000-000037000000}"/>
    <cellStyle name="Normal 3" xfId="10" xr:uid="{00000000-0005-0000-0000-000038000000}"/>
    <cellStyle name="Normal 4" xfId="11" xr:uid="{00000000-0005-0000-0000-000039000000}"/>
    <cellStyle name="Normal 4 2" xfId="12" xr:uid="{00000000-0005-0000-0000-00003A000000}"/>
    <cellStyle name="Normal 5" xfId="13" xr:uid="{00000000-0005-0000-0000-00003B000000}"/>
    <cellStyle name="Normal 5 2" xfId="14" xr:uid="{00000000-0005-0000-0000-00003C000000}"/>
    <cellStyle name="Normal 6" xfId="15" xr:uid="{00000000-0005-0000-0000-00003D000000}"/>
    <cellStyle name="Normal 7" xfId="20" xr:uid="{45378FF8-B7CF-4205-AB24-D3BBEC7EDA7C}"/>
    <cellStyle name="Percent 2" xfId="16" xr:uid="{00000000-0005-0000-0000-00003E000000}"/>
    <cellStyle name="Percent 2 2" xfId="17" xr:uid="{00000000-0005-0000-0000-00003F000000}"/>
    <cellStyle name="Percent 3" xfId="18" xr:uid="{00000000-0005-0000-0000-000040000000}"/>
    <cellStyle name="Percent 3 2" xfId="19" xr:uid="{00000000-0005-0000-0000-000041000000}"/>
    <cellStyle name="Percent 4" xfId="22" xr:uid="{E5763E89-2992-461A-A703-DB6CC5B154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 Id="rId64" Type="http://www.wps.cn/officeDocument/2023/relationships/customStorage" Target="customStorage/customStorag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ustomStorage/customStorage.xml><?xml version="1.0" encoding="utf-8"?>
<customStorage xmlns="https://web.wps.cn/et/2018/main">
  <book/>
  <sheets/>
</customStorage>
</file>

<file path=xl/externalLinks/_rels/externalLink1.xml.rels><?xml version="1.0" encoding="UTF-8" standalone="yes"?>
<Relationships xmlns="http://schemas.openxmlformats.org/package/2006/relationships"><Relationship Id="rId2" Type="http://schemas.openxmlformats.org/officeDocument/2006/relationships/externalLinkPath" Target="../../../../../amokua/Downloads/NGOs%20Board%20Assets%20Register%20as%20at%203rd%20Quarter%202023-2024-Reports%20(3).xlsx" TargetMode="External"/><Relationship Id="rId1" Type="http://schemas.openxmlformats.org/officeDocument/2006/relationships/externalLinkPath" Target="/Users/amokua/Downloads/NGOs%20Board%20Assets%20Register%20as%20at%203rd%20Quarter%202023-2024-Reports%2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muthini/Downloads/NGOs%20Board%20Assets%20Register%20as%20at%2030-06-2024%20for%20the%20%204th%20%20Quarter%202023-2024-Reports%20(3)%20(2).xlsx" TargetMode="External"/><Relationship Id="rId1" Type="http://schemas.openxmlformats.org/officeDocument/2006/relationships/externalLinkPath" Target="/Users/dmuthini/Downloads/NGOs%20Board%20Assets%20Register%20as%20at%2030-06-2024%20for%20the%20%204th%20%20Quarter%202023-2024-Reports%20(3)%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uidance"/>
      <sheetName val="Table of Contents"/>
      <sheetName val="Land Register "/>
      <sheetName val="Building Register"/>
      <sheetName val="Motor Vehicle Register"/>
      <sheetName val="Office equipment register"/>
      <sheetName val="ICT Computer Register  "/>
      <sheetName val="Furniture&amp;Fittings "/>
      <sheetName val="Plant &amp;Machinery Register"/>
      <sheetName val="Portable &amp;attractive Items "/>
      <sheetName val="Intangible Asset Register "/>
      <sheetName val="Stocks Consumables Register "/>
      <sheetName val="Railway register "/>
      <sheetName val="Roads Infastructure register "/>
      <sheetName val="Other Infastructure register "/>
      <sheetName val="Biological register "/>
      <sheetName val="Subsoil register "/>
      <sheetName val="Major maintenance register "/>
      <sheetName val="Work in progress register "/>
      <sheetName val="Investments register "/>
      <sheetName val="Cash register "/>
      <sheetName val="Bank register "/>
      <sheetName val="Loans receivables register"/>
      <sheetName val="Accounts receivables register "/>
      <sheetName val="Other receivables register "/>
      <sheetName val="Imprest register "/>
      <sheetName val="Loans payable register "/>
      <sheetName val="contigent Liabities register"/>
      <sheetName val="Accruals register "/>
      <sheetName val="Accounts payable register "/>
      <sheetName val="Pensions payable register"/>
      <sheetName val="Other liabilities register "/>
      <sheetName val="Asset movement form"/>
      <sheetName val="Revaluation Schedule "/>
      <sheetName val="Losses Register "/>
      <sheetName val="Guarantees &amp;indeminities "/>
      <sheetName val="Lease register "/>
      <sheetName val="Litigation Register "/>
      <sheetName val="Equipment sign out register "/>
      <sheetName val="Asset transfer form "/>
      <sheetName val="Asset Handover form"/>
      <sheetName val="Asset reconciliation report "/>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3">
          <cell r="A3">
            <v>1</v>
          </cell>
        </row>
        <row r="4">
          <cell r="B4" t="str">
            <v>AOG</v>
          </cell>
          <cell r="C4" t="str">
            <v>AUDIT SERVICES</v>
          </cell>
          <cell r="E4" t="str">
            <v>Immediate</v>
          </cell>
          <cell r="F4" t="str">
            <v xml:space="preserve">Over 30days </v>
          </cell>
          <cell r="G4"/>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uidance"/>
      <sheetName val="Table of Contents"/>
      <sheetName val="Land Register "/>
      <sheetName val="Building Register"/>
      <sheetName val="Motor Vehicle Register"/>
      <sheetName val="Office equipment register"/>
      <sheetName val="ICT Computer Register  "/>
      <sheetName val="Furniture&amp;Fittings "/>
      <sheetName val="Plant &amp;Machinery Register"/>
      <sheetName val="Portable &amp;attractive Items "/>
      <sheetName val="Intangible Asset Register "/>
      <sheetName val="Stocks Consumables Register "/>
      <sheetName val="Railway register "/>
      <sheetName val="Roads Infastructure register "/>
      <sheetName val="Other Infastructure register "/>
      <sheetName val="Biological register "/>
      <sheetName val="Subsoil register "/>
      <sheetName val="Major maintenance register "/>
      <sheetName val="Work in progress register "/>
      <sheetName val="Investments register "/>
      <sheetName val="Cash register "/>
      <sheetName val="Bank register "/>
      <sheetName val="Loans receivables register"/>
      <sheetName val="Accounts receivables register "/>
      <sheetName val="Other receivables register "/>
      <sheetName val="Imprest register "/>
      <sheetName val="Loans payable register "/>
      <sheetName val="contigent Liabities register"/>
      <sheetName val="Accruals register "/>
      <sheetName val="Accounts payable register "/>
      <sheetName val="Pensions payable register"/>
      <sheetName val="Other liabilities register "/>
      <sheetName val="Asset movement form"/>
      <sheetName val="Revaluation Schedule "/>
      <sheetName val="Losses Register "/>
      <sheetName val="Guarantees &amp;indeminities "/>
      <sheetName val="Lease register "/>
      <sheetName val="Litigation Register "/>
      <sheetName val="Equipment sign out register "/>
      <sheetName val="Asset transfer form "/>
      <sheetName val="Asset Handover form"/>
      <sheetName val="Asset reconciliation report "/>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s>
    <sheetDataSet>
      <sheetData sheetId="0"/>
      <sheetData sheetId="1"/>
      <sheetData sheetId="2"/>
      <sheetData sheetId="3"/>
      <sheetData sheetId="4"/>
      <sheetData sheetId="5"/>
      <sheetData sheetId="6"/>
      <sheetData sheetId="7">
        <row r="462">
          <cell r="P462">
            <v>31541320094.010002</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8"/>
  <sheetViews>
    <sheetView workbookViewId="0">
      <selection activeCell="F2" sqref="F2"/>
    </sheetView>
  </sheetViews>
  <sheetFormatPr defaultColWidth="9.109375" defaultRowHeight="14.4"/>
  <cols>
    <col min="28" max="40" width="9.109375" customWidth="1"/>
  </cols>
  <sheetData>
    <row r="2" spans="2:4">
      <c r="B2" s="170" t="s">
        <v>0</v>
      </c>
    </row>
    <row r="3" spans="2:4">
      <c r="B3" s="170"/>
    </row>
    <row r="4" spans="2:4">
      <c r="B4" s="171" t="s">
        <v>1</v>
      </c>
    </row>
    <row r="5" spans="2:4">
      <c r="B5" s="172" t="s">
        <v>2</v>
      </c>
    </row>
    <row r="6" spans="2:4">
      <c r="B6" s="172"/>
    </row>
    <row r="7" spans="2:4">
      <c r="B7" s="172"/>
    </row>
    <row r="8" spans="2:4">
      <c r="B8" s="171" t="s">
        <v>3</v>
      </c>
    </row>
    <row r="9" spans="2:4">
      <c r="B9" s="172" t="s">
        <v>4</v>
      </c>
    </row>
    <row r="10" spans="2:4">
      <c r="B10" s="172" t="s">
        <v>5</v>
      </c>
    </row>
    <row r="11" spans="2:4">
      <c r="B11" s="172" t="s">
        <v>6</v>
      </c>
    </row>
    <row r="12" spans="2:4">
      <c r="B12" s="172"/>
    </row>
    <row r="13" spans="2:4">
      <c r="B13" s="171" t="s">
        <v>7</v>
      </c>
    </row>
    <row r="14" spans="2:4">
      <c r="B14" s="172" t="s">
        <v>8</v>
      </c>
    </row>
    <row r="15" spans="2:4" ht="18.75" customHeight="1">
      <c r="B15" s="93"/>
      <c r="C15" s="93"/>
      <c r="D15" s="93"/>
    </row>
    <row r="16" spans="2:4">
      <c r="B16" t="s">
        <v>9</v>
      </c>
    </row>
    <row r="17" spans="2:2">
      <c r="B17" t="s">
        <v>10</v>
      </c>
    </row>
    <row r="18" spans="2:2">
      <c r="B18"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2"/>
  <sheetViews>
    <sheetView topLeftCell="A4" workbookViewId="0">
      <selection activeCell="A22" sqref="A22"/>
    </sheetView>
  </sheetViews>
  <sheetFormatPr defaultColWidth="9" defaultRowHeight="14.4"/>
  <cols>
    <col min="1" max="1" width="27.88671875" customWidth="1"/>
  </cols>
  <sheetData>
    <row r="1" spans="1:1">
      <c r="A1" s="173" t="s">
        <v>12</v>
      </c>
    </row>
    <row r="2" spans="1:1">
      <c r="A2" s="173" t="s">
        <v>13</v>
      </c>
    </row>
    <row r="3" spans="1:1">
      <c r="A3" s="173" t="s">
        <v>14</v>
      </c>
    </row>
    <row r="4" spans="1:1">
      <c r="A4" s="173" t="s">
        <v>15</v>
      </c>
    </row>
    <row r="5" spans="1:1">
      <c r="A5" s="173" t="s">
        <v>16</v>
      </c>
    </row>
    <row r="6" spans="1:1">
      <c r="A6" s="173" t="s">
        <v>17</v>
      </c>
    </row>
    <row r="7" spans="1:1">
      <c r="A7" s="173" t="s">
        <v>18</v>
      </c>
    </row>
    <row r="8" spans="1:1">
      <c r="A8" s="173" t="s">
        <v>19</v>
      </c>
    </row>
    <row r="9" spans="1:1">
      <c r="A9" s="173" t="s">
        <v>20</v>
      </c>
    </row>
    <row r="10" spans="1:1">
      <c r="A10" s="173" t="s">
        <v>21</v>
      </c>
    </row>
    <row r="11" spans="1:1">
      <c r="A11" s="173" t="s">
        <v>22</v>
      </c>
    </row>
    <row r="12" spans="1:1">
      <c r="A12" s="173" t="s">
        <v>23</v>
      </c>
    </row>
    <row r="13" spans="1:1">
      <c r="A13" s="173" t="s">
        <v>24</v>
      </c>
    </row>
    <row r="14" spans="1:1">
      <c r="A14" s="173" t="s">
        <v>25</v>
      </c>
    </row>
    <row r="15" spans="1:1">
      <c r="A15" s="173" t="s">
        <v>26</v>
      </c>
    </row>
    <row r="16" spans="1:1">
      <c r="A16" s="173" t="s">
        <v>27</v>
      </c>
    </row>
    <row r="17" spans="1:1">
      <c r="A17" s="173" t="s">
        <v>28</v>
      </c>
    </row>
    <row r="18" spans="1:1">
      <c r="A18" s="173" t="s">
        <v>29</v>
      </c>
    </row>
    <row r="19" spans="1:1">
      <c r="A19" s="173" t="s">
        <v>30</v>
      </c>
    </row>
    <row r="20" spans="1:1">
      <c r="A20" s="173" t="s">
        <v>31</v>
      </c>
    </row>
    <row r="21" spans="1:1">
      <c r="A21" s="173" t="s">
        <v>32</v>
      </c>
    </row>
    <row r="22" spans="1:1">
      <c r="A22" s="173" t="s">
        <v>33</v>
      </c>
    </row>
    <row r="23" spans="1:1">
      <c r="A23" s="173" t="s">
        <v>34</v>
      </c>
    </row>
    <row r="24" spans="1:1">
      <c r="A24" s="173" t="s">
        <v>35</v>
      </c>
    </row>
    <row r="25" spans="1:1">
      <c r="A25" s="173" t="s">
        <v>36</v>
      </c>
    </row>
    <row r="26" spans="1:1">
      <c r="A26" s="173" t="s">
        <v>37</v>
      </c>
    </row>
    <row r="27" spans="1:1">
      <c r="A27" s="173" t="s">
        <v>38</v>
      </c>
    </row>
    <row r="28" spans="1:1">
      <c r="A28" s="173" t="s">
        <v>39</v>
      </c>
    </row>
    <row r="29" spans="1:1">
      <c r="A29" s="173" t="s">
        <v>40</v>
      </c>
    </row>
    <row r="30" spans="1:1">
      <c r="A30" s="173" t="s">
        <v>41</v>
      </c>
    </row>
    <row r="31" spans="1:1">
      <c r="A31" s="173" t="s">
        <v>42</v>
      </c>
    </row>
    <row r="32" spans="1:1">
      <c r="A32" s="173" t="s">
        <v>43</v>
      </c>
    </row>
    <row r="33" spans="1:1">
      <c r="A33" s="173" t="s">
        <v>44</v>
      </c>
    </row>
    <row r="34" spans="1:1">
      <c r="A34" s="173" t="s">
        <v>45</v>
      </c>
    </row>
    <row r="35" spans="1:1">
      <c r="A35" s="173" t="s">
        <v>46</v>
      </c>
    </row>
    <row r="36" spans="1:1">
      <c r="A36" s="173" t="s">
        <v>47</v>
      </c>
    </row>
    <row r="37" spans="1:1">
      <c r="A37" s="173" t="s">
        <v>48</v>
      </c>
    </row>
    <row r="38" spans="1:1">
      <c r="A38" s="173" t="s">
        <v>49</v>
      </c>
    </row>
    <row r="39" spans="1:1">
      <c r="A39" s="173" t="s">
        <v>50</v>
      </c>
    </row>
    <row r="40" spans="1:1">
      <c r="A40" s="173" t="s">
        <v>51</v>
      </c>
    </row>
    <row r="41" spans="1:1">
      <c r="A41" s="173" t="s">
        <v>52</v>
      </c>
    </row>
    <row r="42" spans="1:1">
      <c r="A42" s="173" t="s">
        <v>53</v>
      </c>
    </row>
  </sheetData>
  <hyperlinks>
    <hyperlink ref="A1" location="Guidance!A1" display="Guidance" xr:uid="{00000000-0004-0000-0100-000000000000}"/>
    <hyperlink ref="A2" location="'Table of Contents'!A1" display="Table of Contents" xr:uid="{00000000-0004-0000-0100-000001000000}"/>
    <hyperlink ref="A3" location="'Land Register '!A1" display="Land Register" xr:uid="{00000000-0004-0000-0100-000002000000}"/>
    <hyperlink ref="A4" location="'Building Register'!A1" display="Building Register" xr:uid="{00000000-0004-0000-0100-000003000000}"/>
    <hyperlink ref="A5" location="'Motor Vehicle Register'!A1" display="Motor Vehicle Register" xr:uid="{00000000-0004-0000-0100-000004000000}"/>
    <hyperlink ref="A6" location="'Office equipment register'!A1" display="Office equipment register" xr:uid="{00000000-0004-0000-0100-000005000000}"/>
    <hyperlink ref="A7" location="'ICT Computer Register  '!A1" display="ICT Computer Register" xr:uid="{00000000-0004-0000-0100-000006000000}"/>
    <hyperlink ref="A8" location="'Furniture&amp;Fittings '!A1" display="Furniture&amp;Fittings" xr:uid="{00000000-0004-0000-0100-000007000000}"/>
    <hyperlink ref="A9" location="'Plant &amp;Machinery Register'!A1" display="Plant &amp;Machinery Register" xr:uid="{00000000-0004-0000-0100-000008000000}"/>
    <hyperlink ref="A10" location="'Portable &amp;attractive Items '!A1" display="Portable &amp;attractive Items" xr:uid="{00000000-0004-0000-0100-000009000000}"/>
    <hyperlink ref="A11" location="'Intangible Asset Register '!A1" display="Intangible Asset Register" xr:uid="{00000000-0004-0000-0100-00000A000000}"/>
    <hyperlink ref="A12" location="'Stocks Consumables Register '!A1" display="Stocks Consumables Register" xr:uid="{00000000-0004-0000-0100-00000B000000}"/>
    <hyperlink ref="A13" location="'Railway register '!A1" display="Railway register" xr:uid="{00000000-0004-0000-0100-00000C000000}"/>
    <hyperlink ref="A14" location="'Roads Infastructure register '!A1" display="Roads Infastructure register" xr:uid="{00000000-0004-0000-0100-00000D000000}"/>
    <hyperlink ref="A15" location="'Other Infastructure register '!A1" display="Other Infastructure register" xr:uid="{00000000-0004-0000-0100-00000E000000}"/>
    <hyperlink ref="A16" location="'Biological register '!A1" display="Biological register" xr:uid="{00000000-0004-0000-0100-00000F000000}"/>
    <hyperlink ref="A17" location="'Subsoil register '!A1" display="Subsoil register" xr:uid="{00000000-0004-0000-0100-000010000000}"/>
    <hyperlink ref="A18" location="'Major maintenance register '!A1" display="Major maintenance register" xr:uid="{00000000-0004-0000-0100-000011000000}"/>
    <hyperlink ref="A19" location="'Work in progress register '!A1" display="Work in progress register" xr:uid="{00000000-0004-0000-0100-000012000000}"/>
    <hyperlink ref="A20" location="'Investments register '!A1" display="Investments register" xr:uid="{00000000-0004-0000-0100-000013000000}"/>
    <hyperlink ref="A21" location="'Cash register '!A1" display="Cash register" xr:uid="{00000000-0004-0000-0100-000014000000}"/>
    <hyperlink ref="A22" location="'Bank register '!A1" display="Bank register" xr:uid="{00000000-0004-0000-0100-000015000000}"/>
    <hyperlink ref="A23" location="'Loans receivables register'!A1" display="Loans receivables register" xr:uid="{00000000-0004-0000-0100-000016000000}"/>
    <hyperlink ref="A24" location="'Accounts receivables register '!A1" display="Accounts receivables register" xr:uid="{00000000-0004-0000-0100-000017000000}"/>
    <hyperlink ref="A25" location="'Other receivables register '!A1" display="Other receivables register" xr:uid="{00000000-0004-0000-0100-000018000000}"/>
    <hyperlink ref="A26" location="'Imprest register '!A1" display="Imprest register" xr:uid="{00000000-0004-0000-0100-000019000000}"/>
    <hyperlink ref="A27" location="'Loans payable register '!A1" display="Loans payable register" xr:uid="{00000000-0004-0000-0100-00001A000000}"/>
    <hyperlink ref="A28" location="'contigent Liabities register'!A1" display="contigent Liabities register" xr:uid="{00000000-0004-0000-0100-00001B000000}"/>
    <hyperlink ref="A29" location="'Accruals register '!A1" display="Accruals register" xr:uid="{00000000-0004-0000-0100-00001C000000}"/>
    <hyperlink ref="A30" location="'Accounts payable register '!A1" display="Accounts payable register" xr:uid="{00000000-0004-0000-0100-00001D000000}"/>
    <hyperlink ref="A31" location="'Pensions payable register'!A1" display="Pensions payable register" xr:uid="{00000000-0004-0000-0100-00001E000000}"/>
    <hyperlink ref="A32" location="'Other liabilities register '!A1" display="Other liabilities register" xr:uid="{00000000-0004-0000-0100-00001F000000}"/>
    <hyperlink ref="A33" location="'Asset movement form'!A1" display="Asset movement form" xr:uid="{00000000-0004-0000-0100-000020000000}"/>
    <hyperlink ref="A34" location="'Revaluation Schedule '!A1" display="Revaluation Schedule" xr:uid="{00000000-0004-0000-0100-000021000000}"/>
    <hyperlink ref="A35" location="'Losses Register '!A1" display="Losses Register" xr:uid="{00000000-0004-0000-0100-000022000000}"/>
    <hyperlink ref="A36" location="'Guarantees &amp;indeminities '!A1" display="Guarantees &amp;indeminities" xr:uid="{00000000-0004-0000-0100-000023000000}"/>
    <hyperlink ref="A37" location="'Lease register '!A1" display="Lease register" xr:uid="{00000000-0004-0000-0100-000024000000}"/>
    <hyperlink ref="A38" location="'Litigation Register '!A1" display="Litigation Register" xr:uid="{00000000-0004-0000-0100-000025000000}"/>
    <hyperlink ref="A39" location="'Equipment sign out register '!A1" display="Equipment sign out register" xr:uid="{00000000-0004-0000-0100-000026000000}"/>
    <hyperlink ref="A40" location="'Asset transfer form '!A1" display="Asset transfer form" xr:uid="{00000000-0004-0000-0100-000027000000}"/>
    <hyperlink ref="A41" location="'Asset Handover form'!A1" display="Asset Handover form" xr:uid="{00000000-0004-0000-0100-000028000000}"/>
    <hyperlink ref="A42" location="'Asset reconciliation report '!A1" display="Asset reconciliation report" xr:uid="{00000000-0004-0000-0100-00002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2"/>
  <sheetViews>
    <sheetView workbookViewId="0">
      <selection sqref="A1:XFD12"/>
    </sheetView>
  </sheetViews>
  <sheetFormatPr defaultColWidth="9" defaultRowHeight="14.4"/>
  <sheetData>
    <row r="1" spans="1:28" ht="17.399999999999999">
      <c r="A1" s="7" t="s">
        <v>54</v>
      </c>
      <c r="B1" s="87" t="s">
        <v>14</v>
      </c>
    </row>
    <row r="2" spans="1:28" ht="51">
      <c r="A2" s="318" t="s">
        <v>55</v>
      </c>
      <c r="B2" s="158" t="s">
        <v>56</v>
      </c>
      <c r="C2" s="158" t="s">
        <v>57</v>
      </c>
      <c r="D2" s="318" t="s">
        <v>58</v>
      </c>
      <c r="E2" s="318" t="s">
        <v>59</v>
      </c>
      <c r="F2" s="158" t="s">
        <v>60</v>
      </c>
      <c r="G2" s="315" t="s">
        <v>61</v>
      </c>
      <c r="H2" s="316"/>
      <c r="I2" s="316"/>
      <c r="J2" s="317"/>
      <c r="K2" s="158" t="s">
        <v>62</v>
      </c>
      <c r="L2" s="318" t="s">
        <v>63</v>
      </c>
      <c r="M2" s="158" t="s">
        <v>64</v>
      </c>
      <c r="N2" s="158" t="s">
        <v>65</v>
      </c>
      <c r="O2" s="158" t="s">
        <v>66</v>
      </c>
      <c r="P2" s="158" t="s">
        <v>67</v>
      </c>
      <c r="Q2" s="158" t="s">
        <v>68</v>
      </c>
      <c r="R2" s="158" t="s">
        <v>69</v>
      </c>
      <c r="S2" s="158" t="s">
        <v>70</v>
      </c>
      <c r="T2" s="158" t="s">
        <v>71</v>
      </c>
      <c r="U2" s="158" t="s">
        <v>72</v>
      </c>
      <c r="V2" s="158" t="s">
        <v>73</v>
      </c>
      <c r="W2" s="158" t="s">
        <v>74</v>
      </c>
      <c r="X2" s="158" t="s">
        <v>75</v>
      </c>
      <c r="Y2" s="158" t="s">
        <v>76</v>
      </c>
      <c r="Z2" s="158" t="s">
        <v>77</v>
      </c>
      <c r="AA2" s="168" t="s">
        <v>78</v>
      </c>
      <c r="AB2" s="157" t="s">
        <v>79</v>
      </c>
    </row>
    <row r="3" spans="1:28">
      <c r="A3" s="319"/>
      <c r="B3" s="163"/>
      <c r="C3" s="163"/>
      <c r="D3" s="319"/>
      <c r="E3" s="319"/>
      <c r="F3" s="163"/>
      <c r="G3" s="163" t="s">
        <v>80</v>
      </c>
      <c r="H3" s="163" t="s">
        <v>81</v>
      </c>
      <c r="I3" s="163" t="s">
        <v>82</v>
      </c>
      <c r="J3" s="163" t="s">
        <v>83</v>
      </c>
      <c r="K3" s="163"/>
      <c r="L3" s="319"/>
      <c r="M3" s="163"/>
      <c r="N3" s="163"/>
      <c r="O3" s="163"/>
      <c r="P3" s="163"/>
      <c r="Q3" s="163"/>
      <c r="R3" s="163"/>
      <c r="S3" s="163"/>
      <c r="T3" s="163"/>
      <c r="U3" s="163"/>
      <c r="V3" s="163"/>
      <c r="W3" s="163"/>
      <c r="X3" s="163"/>
      <c r="Y3" s="163"/>
      <c r="Z3" s="163"/>
      <c r="AA3" s="163"/>
      <c r="AB3" s="163"/>
    </row>
    <row r="4" spans="1:28" s="104" customFormat="1" ht="13.8">
      <c r="A4" s="164" t="s">
        <v>84</v>
      </c>
      <c r="B4" s="160" t="s">
        <v>84</v>
      </c>
      <c r="C4" s="160" t="s">
        <v>84</v>
      </c>
      <c r="D4" s="160" t="s">
        <v>84</v>
      </c>
      <c r="E4" s="160" t="s">
        <v>84</v>
      </c>
      <c r="F4" s="160" t="s">
        <v>84</v>
      </c>
      <c r="G4" s="160" t="s">
        <v>84</v>
      </c>
      <c r="H4" s="160" t="s">
        <v>84</v>
      </c>
      <c r="I4" s="160" t="s">
        <v>84</v>
      </c>
      <c r="J4" s="160" t="s">
        <v>84</v>
      </c>
      <c r="K4" s="160" t="s">
        <v>84</v>
      </c>
      <c r="L4" s="160" t="s">
        <v>84</v>
      </c>
      <c r="M4" s="160" t="s">
        <v>84</v>
      </c>
      <c r="N4" s="160" t="s">
        <v>84</v>
      </c>
      <c r="O4" s="160" t="s">
        <v>84</v>
      </c>
      <c r="P4" s="160" t="s">
        <v>84</v>
      </c>
      <c r="Q4" s="160" t="s">
        <v>84</v>
      </c>
      <c r="R4" s="160" t="s">
        <v>84</v>
      </c>
      <c r="S4" s="160" t="s">
        <v>84</v>
      </c>
      <c r="T4" s="160" t="s">
        <v>84</v>
      </c>
      <c r="U4" s="160" t="s">
        <v>84</v>
      </c>
      <c r="V4" s="160" t="s">
        <v>84</v>
      </c>
      <c r="W4" s="160" t="s">
        <v>84</v>
      </c>
      <c r="X4" s="160" t="s">
        <v>84</v>
      </c>
      <c r="Y4" s="169"/>
      <c r="Z4" s="169"/>
      <c r="AA4" s="169"/>
      <c r="AB4" s="169"/>
    </row>
    <row r="5" spans="1:28">
      <c r="A5" s="165"/>
      <c r="B5" s="166"/>
      <c r="C5" s="166"/>
      <c r="D5" s="166"/>
      <c r="E5" s="166"/>
      <c r="F5" s="166"/>
      <c r="G5" s="166"/>
      <c r="H5" s="166"/>
      <c r="I5" s="166"/>
      <c r="J5" s="166"/>
      <c r="K5" s="166"/>
      <c r="L5" s="166"/>
      <c r="M5" s="163"/>
      <c r="N5" s="163"/>
      <c r="O5" s="163"/>
      <c r="P5" s="163"/>
      <c r="Q5" s="163"/>
      <c r="R5" s="163"/>
      <c r="S5" s="163"/>
      <c r="T5" s="163"/>
      <c r="U5" s="163"/>
      <c r="V5" s="163"/>
      <c r="W5" s="163"/>
      <c r="X5" s="163"/>
      <c r="Y5" s="163"/>
      <c r="Z5" s="163"/>
      <c r="AA5" s="163"/>
      <c r="AB5" s="163"/>
    </row>
    <row r="6" spans="1:28">
      <c r="A6" s="165"/>
      <c r="B6" s="166"/>
      <c r="C6" s="166"/>
      <c r="D6" s="166"/>
      <c r="E6" s="166"/>
      <c r="F6" s="166"/>
      <c r="G6" s="166"/>
      <c r="H6" s="166"/>
      <c r="I6" s="166"/>
      <c r="J6" s="166"/>
      <c r="K6" s="166"/>
      <c r="L6" s="166"/>
      <c r="M6" s="163"/>
      <c r="N6" s="163"/>
      <c r="O6" s="163"/>
      <c r="P6" s="163"/>
      <c r="Q6" s="163"/>
      <c r="R6" s="163"/>
      <c r="S6" s="163"/>
      <c r="T6" s="163"/>
      <c r="U6" s="163"/>
      <c r="V6" s="163"/>
      <c r="W6" s="163"/>
      <c r="X6" s="163"/>
      <c r="Y6" s="163"/>
      <c r="Z6" s="163"/>
      <c r="AA6" s="163"/>
      <c r="AB6" s="166"/>
    </row>
    <row r="7" spans="1:28">
      <c r="A7" s="165"/>
      <c r="B7" s="166"/>
      <c r="C7" s="166"/>
      <c r="D7" s="166"/>
      <c r="E7" s="166"/>
      <c r="F7" s="166"/>
      <c r="G7" s="166"/>
      <c r="H7" s="166"/>
      <c r="I7" s="166"/>
      <c r="J7" s="166"/>
      <c r="K7" s="166"/>
      <c r="L7" s="166"/>
      <c r="M7" s="163"/>
      <c r="N7" s="163"/>
      <c r="O7" s="163"/>
      <c r="P7" s="163"/>
      <c r="Q7" s="163"/>
      <c r="R7" s="163"/>
      <c r="S7" s="163"/>
      <c r="T7" s="163"/>
      <c r="U7" s="163"/>
      <c r="V7" s="163"/>
      <c r="W7" s="163"/>
      <c r="X7" s="163"/>
      <c r="Y7" s="163"/>
      <c r="Z7" s="163"/>
      <c r="AA7" s="163"/>
      <c r="AB7" s="166"/>
    </row>
    <row r="8" spans="1:28" ht="15">
      <c r="A8" s="167"/>
      <c r="B8" s="161"/>
      <c r="C8" s="161"/>
      <c r="D8" s="161"/>
      <c r="E8" s="161"/>
      <c r="F8" s="161"/>
      <c r="G8" s="161"/>
      <c r="H8" s="161"/>
      <c r="I8" s="161"/>
      <c r="J8" s="161"/>
      <c r="K8" s="161"/>
      <c r="L8" s="161"/>
      <c r="M8" s="162"/>
      <c r="N8" s="162"/>
      <c r="O8" s="162"/>
      <c r="P8" s="162"/>
      <c r="Q8" s="162"/>
      <c r="R8" s="162"/>
      <c r="S8" s="162"/>
      <c r="T8" s="162"/>
      <c r="U8" s="162"/>
      <c r="V8" s="162"/>
      <c r="W8" s="162"/>
      <c r="X8" s="162"/>
      <c r="Y8" s="162"/>
      <c r="Z8" s="162"/>
      <c r="AA8" s="162"/>
      <c r="AB8" s="161"/>
    </row>
    <row r="9" spans="1:28">
      <c r="A9" s="21"/>
    </row>
    <row r="10" spans="1:28" s="1" customFormat="1" ht="15.6">
      <c r="A10" s="5" t="s">
        <v>1837</v>
      </c>
      <c r="E10" s="5"/>
      <c r="L10" s="6"/>
    </row>
    <row r="11" spans="1:28" s="1" customFormat="1" ht="15.6">
      <c r="A11" s="5" t="s">
        <v>1838</v>
      </c>
      <c r="C11" s="5"/>
    </row>
    <row r="12" spans="1:28" s="1" customFormat="1" ht="15.6">
      <c r="A12" s="5" t="s">
        <v>1839</v>
      </c>
      <c r="C12" s="5"/>
    </row>
  </sheetData>
  <mergeCells count="5">
    <mergeCell ref="G2:J2"/>
    <mergeCell ref="A2:A3"/>
    <mergeCell ref="D2:D3"/>
    <mergeCell ref="E2:E3"/>
    <mergeCell ref="L2: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4"/>
  <sheetViews>
    <sheetView topLeftCell="A2" workbookViewId="0">
      <selection activeCell="A2" sqref="A2:XFD12"/>
    </sheetView>
  </sheetViews>
  <sheetFormatPr defaultColWidth="9" defaultRowHeight="14.4"/>
  <cols>
    <col min="1" max="1" width="6.88671875" customWidth="1"/>
  </cols>
  <sheetData>
    <row r="1" spans="1:27" ht="17.399999999999999">
      <c r="A1" s="7" t="s">
        <v>85</v>
      </c>
    </row>
    <row r="2" spans="1:27" ht="71.400000000000006">
      <c r="A2" s="157"/>
      <c r="B2" s="158" t="s">
        <v>86</v>
      </c>
      <c r="C2" s="158" t="s">
        <v>87</v>
      </c>
      <c r="D2" s="158" t="s">
        <v>88</v>
      </c>
      <c r="E2" s="158" t="s">
        <v>89</v>
      </c>
      <c r="F2" s="158" t="s">
        <v>90</v>
      </c>
      <c r="G2" s="158" t="s">
        <v>91</v>
      </c>
      <c r="H2" s="158" t="s">
        <v>92</v>
      </c>
      <c r="I2" s="158" t="s">
        <v>58</v>
      </c>
      <c r="J2" s="158" t="s">
        <v>93</v>
      </c>
      <c r="K2" s="158" t="s">
        <v>94</v>
      </c>
      <c r="L2" s="158" t="s">
        <v>95</v>
      </c>
      <c r="M2" s="158" t="s">
        <v>96</v>
      </c>
      <c r="N2" s="158" t="s">
        <v>97</v>
      </c>
      <c r="O2" s="158" t="s">
        <v>98</v>
      </c>
      <c r="P2" s="158" t="s">
        <v>99</v>
      </c>
      <c r="Q2" s="158" t="s">
        <v>100</v>
      </c>
      <c r="R2" s="158" t="s">
        <v>101</v>
      </c>
      <c r="S2" s="158" t="s">
        <v>102</v>
      </c>
      <c r="T2" s="158" t="s">
        <v>103</v>
      </c>
      <c r="U2" s="158" t="s">
        <v>104</v>
      </c>
      <c r="V2" s="158" t="s">
        <v>105</v>
      </c>
      <c r="W2" s="158" t="s">
        <v>101</v>
      </c>
      <c r="X2" s="158" t="s">
        <v>106</v>
      </c>
      <c r="Y2" s="158" t="s">
        <v>107</v>
      </c>
      <c r="Z2" s="158" t="s">
        <v>78</v>
      </c>
      <c r="AA2" s="158" t="s">
        <v>79</v>
      </c>
    </row>
    <row r="3" spans="1:27" ht="15">
      <c r="A3" s="159">
        <v>1</v>
      </c>
      <c r="B3" s="160" t="s">
        <v>84</v>
      </c>
      <c r="C3" s="160" t="s">
        <v>84</v>
      </c>
      <c r="D3" s="160" t="s">
        <v>84</v>
      </c>
      <c r="E3" s="160" t="s">
        <v>84</v>
      </c>
      <c r="F3" s="160" t="s">
        <v>84</v>
      </c>
      <c r="G3" s="160" t="s">
        <v>84</v>
      </c>
      <c r="H3" s="160" t="s">
        <v>84</v>
      </c>
      <c r="I3" s="160" t="s">
        <v>84</v>
      </c>
      <c r="J3" s="160" t="s">
        <v>84</v>
      </c>
      <c r="K3" s="160" t="s">
        <v>84</v>
      </c>
      <c r="L3" s="160" t="s">
        <v>84</v>
      </c>
      <c r="M3" s="160" t="s">
        <v>84</v>
      </c>
      <c r="N3" s="160" t="s">
        <v>84</v>
      </c>
      <c r="O3" s="160" t="s">
        <v>84</v>
      </c>
      <c r="P3" s="160" t="s">
        <v>84</v>
      </c>
      <c r="Q3" s="160" t="s">
        <v>84</v>
      </c>
      <c r="R3" s="160" t="s">
        <v>84</v>
      </c>
      <c r="S3" s="160" t="s">
        <v>84</v>
      </c>
      <c r="T3" s="160" t="s">
        <v>84</v>
      </c>
      <c r="U3" s="160" t="s">
        <v>84</v>
      </c>
      <c r="V3" s="160" t="s">
        <v>84</v>
      </c>
      <c r="W3" s="160" t="s">
        <v>84</v>
      </c>
      <c r="X3" s="160" t="s">
        <v>84</v>
      </c>
      <c r="Y3" s="160" t="s">
        <v>84</v>
      </c>
      <c r="Z3" s="160" t="s">
        <v>84</v>
      </c>
      <c r="AA3" s="161"/>
    </row>
    <row r="4" spans="1:27" ht="15">
      <c r="A4" s="159">
        <v>2</v>
      </c>
      <c r="B4" s="161"/>
      <c r="C4" s="161"/>
      <c r="D4" s="161"/>
      <c r="E4" s="162"/>
      <c r="F4" s="162"/>
      <c r="G4" s="162"/>
      <c r="H4" s="162"/>
      <c r="I4" s="162"/>
      <c r="J4" s="162"/>
      <c r="K4" s="162"/>
      <c r="L4" s="162"/>
      <c r="M4" s="162"/>
      <c r="N4" s="162"/>
      <c r="O4" s="162"/>
      <c r="P4" s="162"/>
      <c r="Q4" s="162"/>
      <c r="R4" s="162"/>
      <c r="S4" s="162"/>
      <c r="T4" s="162"/>
      <c r="U4" s="162"/>
      <c r="V4" s="162"/>
      <c r="W4" s="162"/>
      <c r="X4" s="162"/>
      <c r="Y4" s="162"/>
      <c r="Z4" s="162"/>
      <c r="AA4" s="161"/>
    </row>
    <row r="5" spans="1:27" ht="15">
      <c r="A5" s="159">
        <v>3</v>
      </c>
      <c r="B5" s="161"/>
      <c r="C5" s="161"/>
      <c r="D5" s="161"/>
      <c r="E5" s="162"/>
      <c r="F5" s="162"/>
      <c r="G5" s="162"/>
      <c r="H5" s="162"/>
      <c r="I5" s="162"/>
      <c r="J5" s="162"/>
      <c r="K5" s="162"/>
      <c r="L5" s="162"/>
      <c r="M5" s="162"/>
      <c r="N5" s="162"/>
      <c r="O5" s="162"/>
      <c r="P5" s="162"/>
      <c r="Q5" s="162"/>
      <c r="R5" s="162"/>
      <c r="S5" s="162"/>
      <c r="T5" s="162"/>
      <c r="U5" s="162"/>
      <c r="V5" s="162"/>
      <c r="W5" s="162"/>
      <c r="X5" s="162"/>
      <c r="Y5" s="162"/>
      <c r="Z5" s="162"/>
      <c r="AA5" s="161"/>
    </row>
    <row r="6" spans="1:27" ht="15">
      <c r="A6" s="159">
        <v>4</v>
      </c>
      <c r="B6" s="161"/>
      <c r="C6" s="161"/>
      <c r="D6" s="161"/>
      <c r="E6" s="162"/>
      <c r="F6" s="162"/>
      <c r="G6" s="162"/>
      <c r="H6" s="162"/>
      <c r="I6" s="162"/>
      <c r="J6" s="162"/>
      <c r="K6" s="162"/>
      <c r="L6" s="162"/>
      <c r="M6" s="162"/>
      <c r="N6" s="162"/>
      <c r="O6" s="162"/>
      <c r="P6" s="162"/>
      <c r="Q6" s="162"/>
      <c r="R6" s="162"/>
      <c r="S6" s="162"/>
      <c r="T6" s="162"/>
      <c r="U6" s="162"/>
      <c r="V6" s="162"/>
      <c r="W6" s="162"/>
      <c r="X6" s="162"/>
      <c r="Y6" s="162"/>
      <c r="Z6" s="162"/>
      <c r="AA6" s="161"/>
    </row>
    <row r="7" spans="1:27" ht="15">
      <c r="A7" s="159">
        <v>5</v>
      </c>
      <c r="B7" s="161"/>
      <c r="C7" s="161"/>
      <c r="D7" s="161"/>
      <c r="E7" s="162"/>
      <c r="F7" s="162"/>
      <c r="G7" s="162"/>
      <c r="H7" s="162"/>
      <c r="I7" s="162"/>
      <c r="J7" s="162"/>
      <c r="K7" s="162"/>
      <c r="L7" s="162"/>
      <c r="M7" s="162"/>
      <c r="N7" s="162"/>
      <c r="O7" s="162"/>
      <c r="P7" s="162"/>
      <c r="Q7" s="162"/>
      <c r="R7" s="162"/>
      <c r="S7" s="162"/>
      <c r="T7" s="162"/>
      <c r="U7" s="162"/>
      <c r="V7" s="162"/>
      <c r="W7" s="162"/>
      <c r="X7" s="162"/>
      <c r="Y7" s="162"/>
      <c r="Z7" s="162"/>
      <c r="AA7" s="161"/>
    </row>
    <row r="8" spans="1:27">
      <c r="A8" s="21"/>
    </row>
    <row r="9" spans="1:27">
      <c r="A9" s="21"/>
    </row>
    <row r="10" spans="1:27" s="1" customFormat="1" ht="15.6">
      <c r="A10" s="5" t="s">
        <v>1837</v>
      </c>
      <c r="E10" s="5"/>
      <c r="L10" s="6"/>
    </row>
    <row r="11" spans="1:27" s="1" customFormat="1" ht="15.6">
      <c r="A11" s="5" t="s">
        <v>1838</v>
      </c>
      <c r="C11" s="5"/>
    </row>
    <row r="12" spans="1:27" s="1" customFormat="1" ht="15.6">
      <c r="A12" s="5" t="s">
        <v>1839</v>
      </c>
      <c r="C12" s="5"/>
    </row>
    <row r="13" spans="1:27" ht="15.6">
      <c r="A13" s="38"/>
      <c r="B13" s="39"/>
      <c r="C13" s="38"/>
      <c r="D13" s="39"/>
      <c r="E13" s="39"/>
      <c r="F13" s="39"/>
      <c r="G13" s="39"/>
      <c r="H13" s="39"/>
      <c r="I13" s="39"/>
      <c r="J13" s="39"/>
      <c r="K13" s="39"/>
    </row>
    <row r="14" spans="1:27">
      <c r="A14"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topLeftCell="A9" zoomScale="99" zoomScaleNormal="99" workbookViewId="0">
      <selection activeCell="E17" sqref="E17"/>
    </sheetView>
  </sheetViews>
  <sheetFormatPr defaultColWidth="9" defaultRowHeight="14.4"/>
  <cols>
    <col min="4" max="4" width="14.88671875" customWidth="1"/>
    <col min="5" max="5" width="21" customWidth="1"/>
    <col min="6" max="6" width="15" customWidth="1"/>
    <col min="7" max="7" width="12.44140625" customWidth="1"/>
    <col min="12" max="12" width="10.33203125" customWidth="1"/>
    <col min="13" max="13" width="15.44140625" customWidth="1"/>
    <col min="14" max="14" width="12" customWidth="1"/>
    <col min="15" max="15" width="18.109375" customWidth="1"/>
    <col min="16" max="16" width="21.88671875" customWidth="1"/>
    <col min="17" max="17" width="17.33203125" customWidth="1"/>
    <col min="20" max="20" width="14.5546875" customWidth="1"/>
    <col min="22" max="22" width="10.44140625" customWidth="1"/>
  </cols>
  <sheetData>
    <row r="1" spans="1:23" ht="18" customHeight="1">
      <c r="A1" s="131" t="s">
        <v>108</v>
      </c>
    </row>
    <row r="2" spans="1:23" ht="45.6">
      <c r="A2" s="91" t="s">
        <v>109</v>
      </c>
      <c r="B2" s="92" t="s">
        <v>110</v>
      </c>
      <c r="C2" s="92" t="s">
        <v>111</v>
      </c>
      <c r="D2" s="92" t="s">
        <v>112</v>
      </c>
      <c r="E2" s="132" t="s">
        <v>113</v>
      </c>
      <c r="F2" s="132" t="s">
        <v>114</v>
      </c>
      <c r="G2" s="132" t="s">
        <v>115</v>
      </c>
      <c r="H2" s="132" t="s">
        <v>116</v>
      </c>
      <c r="I2" s="132" t="s">
        <v>117</v>
      </c>
      <c r="J2" s="132" t="s">
        <v>118</v>
      </c>
      <c r="K2" s="132" t="s">
        <v>119</v>
      </c>
      <c r="L2" s="132" t="s">
        <v>120</v>
      </c>
      <c r="M2" s="132" t="s">
        <v>121</v>
      </c>
      <c r="N2" s="132" t="s">
        <v>122</v>
      </c>
      <c r="O2" s="132" t="s">
        <v>105</v>
      </c>
      <c r="P2" s="132" t="s">
        <v>123</v>
      </c>
      <c r="Q2" s="132" t="s">
        <v>124</v>
      </c>
      <c r="R2" s="132" t="s">
        <v>125</v>
      </c>
      <c r="S2" s="132" t="s">
        <v>77</v>
      </c>
      <c r="T2" s="132" t="s">
        <v>126</v>
      </c>
      <c r="U2" s="132" t="s">
        <v>127</v>
      </c>
      <c r="V2" s="132" t="s">
        <v>128</v>
      </c>
      <c r="W2" s="132" t="s">
        <v>129</v>
      </c>
    </row>
    <row r="3" spans="1:23" ht="55.8" thickBot="1">
      <c r="A3" s="133">
        <v>1</v>
      </c>
      <c r="B3" s="134" t="s">
        <v>130</v>
      </c>
      <c r="C3" s="135" t="s">
        <v>131</v>
      </c>
      <c r="D3" s="136" t="s">
        <v>132</v>
      </c>
      <c r="E3" s="137" t="s">
        <v>133</v>
      </c>
      <c r="F3" s="134" t="s">
        <v>134</v>
      </c>
      <c r="G3" s="135" t="s">
        <v>135</v>
      </c>
      <c r="H3" s="174">
        <v>2020</v>
      </c>
      <c r="I3" s="135" t="s">
        <v>136</v>
      </c>
      <c r="J3" s="135" t="s">
        <v>137</v>
      </c>
      <c r="K3" s="135" t="s">
        <v>137</v>
      </c>
      <c r="L3" s="135">
        <v>2029</v>
      </c>
      <c r="M3" s="145">
        <v>6655350.0099999998</v>
      </c>
      <c r="N3" s="146">
        <v>0.25</v>
      </c>
      <c r="O3" s="147">
        <f>P3/(2025-H3)</f>
        <v>1015200.8511347655</v>
      </c>
      <c r="P3" s="147">
        <f>M3-Q3</f>
        <v>5076004.2556738276</v>
      </c>
      <c r="Q3" s="147">
        <f>M3*(1-N3)^(2025-H3)</f>
        <v>1579345.7543261717</v>
      </c>
      <c r="R3" s="152">
        <v>2033</v>
      </c>
      <c r="S3" s="152"/>
      <c r="T3" s="153" t="s">
        <v>138</v>
      </c>
      <c r="U3" s="152" t="s">
        <v>139</v>
      </c>
      <c r="V3" s="152" t="s">
        <v>140</v>
      </c>
      <c r="W3" s="152"/>
    </row>
    <row r="4" spans="1:23" ht="55.8" thickBot="1">
      <c r="A4" s="133">
        <v>2</v>
      </c>
      <c r="B4" s="134" t="s">
        <v>141</v>
      </c>
      <c r="C4" s="135" t="s">
        <v>131</v>
      </c>
      <c r="D4" s="137" t="s">
        <v>142</v>
      </c>
      <c r="E4" s="137" t="s">
        <v>143</v>
      </c>
      <c r="F4" s="134" t="s">
        <v>144</v>
      </c>
      <c r="G4" s="135" t="s">
        <v>135</v>
      </c>
      <c r="H4" s="174">
        <v>2020</v>
      </c>
      <c r="I4" s="135" t="s">
        <v>136</v>
      </c>
      <c r="J4" s="135" t="s">
        <v>137</v>
      </c>
      <c r="K4" s="135" t="s">
        <v>137</v>
      </c>
      <c r="L4" s="135">
        <v>2029</v>
      </c>
      <c r="M4" s="145">
        <v>6655350.0099999998</v>
      </c>
      <c r="N4" s="146">
        <v>0.25</v>
      </c>
      <c r="O4" s="147">
        <f t="shared" ref="O4:O10" si="0">P4/(2025-H4)</f>
        <v>1015200.8511347655</v>
      </c>
      <c r="P4" s="147">
        <f>M4-Q4</f>
        <v>5076004.2556738276</v>
      </c>
      <c r="Q4" s="147">
        <f t="shared" ref="Q4:Q10" si="1">M4*(1-N4)^(2025-H4)</f>
        <v>1579345.7543261717</v>
      </c>
      <c r="R4" s="152">
        <v>2033</v>
      </c>
      <c r="S4" s="152"/>
      <c r="T4" s="153" t="s">
        <v>138</v>
      </c>
      <c r="U4" s="152" t="s">
        <v>139</v>
      </c>
      <c r="V4" s="152" t="s">
        <v>140</v>
      </c>
      <c r="W4" s="152"/>
    </row>
    <row r="5" spans="1:23" ht="55.8" thickBot="1">
      <c r="A5" s="133">
        <v>3</v>
      </c>
      <c r="B5" s="134" t="s">
        <v>145</v>
      </c>
      <c r="C5" s="135" t="s">
        <v>131</v>
      </c>
      <c r="D5" s="136" t="s">
        <v>146</v>
      </c>
      <c r="E5" s="137" t="s">
        <v>147</v>
      </c>
      <c r="F5" s="134" t="s">
        <v>148</v>
      </c>
      <c r="G5" s="135" t="s">
        <v>135</v>
      </c>
      <c r="H5" s="174">
        <v>2020</v>
      </c>
      <c r="I5" s="135" t="s">
        <v>136</v>
      </c>
      <c r="J5" s="135" t="s">
        <v>137</v>
      </c>
      <c r="K5" s="135" t="s">
        <v>137</v>
      </c>
      <c r="L5" s="135">
        <v>2029</v>
      </c>
      <c r="M5" s="145">
        <v>6655350.0099999998</v>
      </c>
      <c r="N5" s="146">
        <v>0.25</v>
      </c>
      <c r="O5" s="147">
        <f t="shared" si="0"/>
        <v>1015200.8511347655</v>
      </c>
      <c r="P5" s="147">
        <f t="shared" ref="P5:P10" si="2">M5-Q5</f>
        <v>5076004.2556738276</v>
      </c>
      <c r="Q5" s="147">
        <f t="shared" si="1"/>
        <v>1579345.7543261717</v>
      </c>
      <c r="R5" s="152">
        <v>2033</v>
      </c>
      <c r="S5" s="152"/>
      <c r="T5" s="153" t="s">
        <v>138</v>
      </c>
      <c r="U5" s="152" t="s">
        <v>139</v>
      </c>
      <c r="V5" s="152" t="s">
        <v>140</v>
      </c>
      <c r="W5" s="152"/>
    </row>
    <row r="6" spans="1:23" ht="55.8" thickBot="1">
      <c r="A6" s="133">
        <v>4</v>
      </c>
      <c r="B6" s="134" t="s">
        <v>149</v>
      </c>
      <c r="C6" s="135" t="s">
        <v>131</v>
      </c>
      <c r="D6" s="137" t="s">
        <v>150</v>
      </c>
      <c r="E6" s="137" t="s">
        <v>151</v>
      </c>
      <c r="F6" s="134" t="s">
        <v>152</v>
      </c>
      <c r="G6" s="135" t="s">
        <v>135</v>
      </c>
      <c r="H6" s="174">
        <v>2020</v>
      </c>
      <c r="I6" s="135" t="s">
        <v>136</v>
      </c>
      <c r="J6" s="135" t="s">
        <v>137</v>
      </c>
      <c r="K6" s="135" t="s">
        <v>137</v>
      </c>
      <c r="L6" s="135">
        <v>2029</v>
      </c>
      <c r="M6" s="145">
        <v>6655350.0099999998</v>
      </c>
      <c r="N6" s="146">
        <v>0.25</v>
      </c>
      <c r="O6" s="147">
        <f t="shared" si="0"/>
        <v>1015200.8511347655</v>
      </c>
      <c r="P6" s="147">
        <f t="shared" si="2"/>
        <v>5076004.2556738276</v>
      </c>
      <c r="Q6" s="147">
        <f t="shared" si="1"/>
        <v>1579345.7543261717</v>
      </c>
      <c r="R6" s="152">
        <v>2033</v>
      </c>
      <c r="S6" s="152"/>
      <c r="T6" s="153" t="s">
        <v>138</v>
      </c>
      <c r="U6" s="152" t="s">
        <v>139</v>
      </c>
      <c r="V6" s="152" t="s">
        <v>140</v>
      </c>
      <c r="W6" s="152"/>
    </row>
    <row r="7" spans="1:23" ht="55.8" thickBot="1">
      <c r="A7" s="133">
        <v>5</v>
      </c>
      <c r="B7" s="134" t="s">
        <v>153</v>
      </c>
      <c r="C7" s="135" t="s">
        <v>131</v>
      </c>
      <c r="D7" s="135" t="s">
        <v>154</v>
      </c>
      <c r="E7" s="137" t="s">
        <v>155</v>
      </c>
      <c r="F7" s="134" t="s">
        <v>156</v>
      </c>
      <c r="G7" s="135" t="s">
        <v>157</v>
      </c>
      <c r="H7" s="174">
        <v>2020</v>
      </c>
      <c r="I7" s="135" t="s">
        <v>158</v>
      </c>
      <c r="J7" s="135" t="s">
        <v>137</v>
      </c>
      <c r="K7" s="135" t="s">
        <v>137</v>
      </c>
      <c r="L7" s="135">
        <v>2029</v>
      </c>
      <c r="M7" s="145">
        <v>10977414</v>
      </c>
      <c r="N7" s="146">
        <v>0.25</v>
      </c>
      <c r="O7" s="147">
        <f t="shared" si="0"/>
        <v>1674484.440234375</v>
      </c>
      <c r="P7" s="147">
        <f t="shared" si="2"/>
        <v>8372422.201171875</v>
      </c>
      <c r="Q7" s="147">
        <f t="shared" si="1"/>
        <v>2604991.798828125</v>
      </c>
      <c r="R7" s="152">
        <v>2033</v>
      </c>
      <c r="S7" s="152"/>
      <c r="T7" s="153" t="s">
        <v>138</v>
      </c>
      <c r="U7" s="152" t="s">
        <v>139</v>
      </c>
      <c r="V7" s="152" t="s">
        <v>140</v>
      </c>
      <c r="W7" s="152"/>
    </row>
    <row r="8" spans="1:23" ht="55.8" thickBot="1">
      <c r="A8" s="133">
        <v>6</v>
      </c>
      <c r="B8" s="134" t="s">
        <v>159</v>
      </c>
      <c r="C8" s="135" t="s">
        <v>131</v>
      </c>
      <c r="D8" s="135" t="s">
        <v>160</v>
      </c>
      <c r="E8" s="137" t="s">
        <v>161</v>
      </c>
      <c r="F8" s="134" t="s">
        <v>162</v>
      </c>
      <c r="G8" s="135" t="s">
        <v>157</v>
      </c>
      <c r="H8" s="174">
        <v>2020</v>
      </c>
      <c r="I8" s="135" t="s">
        <v>163</v>
      </c>
      <c r="J8" s="135" t="s">
        <v>137</v>
      </c>
      <c r="K8" s="135" t="s">
        <v>137</v>
      </c>
      <c r="L8" s="135">
        <v>2029</v>
      </c>
      <c r="M8" s="145">
        <v>10977414</v>
      </c>
      <c r="N8" s="146">
        <v>0.25</v>
      </c>
      <c r="O8" s="147">
        <f t="shared" si="0"/>
        <v>1674484.440234375</v>
      </c>
      <c r="P8" s="147">
        <f t="shared" si="2"/>
        <v>8372422.201171875</v>
      </c>
      <c r="Q8" s="147">
        <f t="shared" si="1"/>
        <v>2604991.798828125</v>
      </c>
      <c r="R8" s="152">
        <v>2033</v>
      </c>
      <c r="S8" s="152"/>
      <c r="T8" s="153" t="s">
        <v>138</v>
      </c>
      <c r="U8" s="152" t="s">
        <v>139</v>
      </c>
      <c r="V8" s="152" t="s">
        <v>140</v>
      </c>
      <c r="W8" s="152"/>
    </row>
    <row r="9" spans="1:23" ht="42" thickBot="1">
      <c r="A9" s="138">
        <v>7</v>
      </c>
      <c r="B9" s="139" t="s">
        <v>164</v>
      </c>
      <c r="C9" s="140" t="s">
        <v>131</v>
      </c>
      <c r="D9" s="141" t="s">
        <v>132</v>
      </c>
      <c r="E9" s="141" t="s">
        <v>165</v>
      </c>
      <c r="F9" s="139" t="s">
        <v>166</v>
      </c>
      <c r="G9" s="140" t="s">
        <v>167</v>
      </c>
      <c r="H9" s="174">
        <v>2020</v>
      </c>
      <c r="I9" s="140" t="s">
        <v>168</v>
      </c>
      <c r="J9" s="140" t="s">
        <v>137</v>
      </c>
      <c r="K9" s="140" t="s">
        <v>137</v>
      </c>
      <c r="L9" s="140">
        <v>2029</v>
      </c>
      <c r="M9" s="148">
        <v>3555621</v>
      </c>
      <c r="N9" s="149">
        <v>0.25</v>
      </c>
      <c r="O9" s="147">
        <f t="shared" si="0"/>
        <v>542371.09394531255</v>
      </c>
      <c r="P9" s="147">
        <f t="shared" si="2"/>
        <v>2711855.4697265625</v>
      </c>
      <c r="Q9" s="147">
        <f t="shared" si="1"/>
        <v>843765.5302734375</v>
      </c>
      <c r="R9" s="152">
        <v>2033</v>
      </c>
      <c r="S9" s="154"/>
      <c r="T9" s="155" t="s">
        <v>138</v>
      </c>
      <c r="U9" s="154" t="s">
        <v>139</v>
      </c>
      <c r="V9" s="154" t="s">
        <v>140</v>
      </c>
      <c r="W9" s="154"/>
    </row>
    <row r="10" spans="1:23" ht="56.4" thickBot="1">
      <c r="A10" s="19">
        <v>8</v>
      </c>
      <c r="B10" s="134" t="s">
        <v>169</v>
      </c>
      <c r="C10" s="135" t="s">
        <v>131</v>
      </c>
      <c r="D10" s="142" t="s">
        <v>170</v>
      </c>
      <c r="E10" s="143" t="s">
        <v>171</v>
      </c>
      <c r="F10" s="134" t="s">
        <v>172</v>
      </c>
      <c r="G10" s="144" t="s">
        <v>173</v>
      </c>
      <c r="H10" s="174">
        <v>2020</v>
      </c>
      <c r="I10" s="144" t="s">
        <v>174</v>
      </c>
      <c r="J10" s="135" t="s">
        <v>137</v>
      </c>
      <c r="K10" s="135" t="s">
        <v>137</v>
      </c>
      <c r="L10" s="135">
        <v>2029</v>
      </c>
      <c r="M10" s="145">
        <v>5218448</v>
      </c>
      <c r="N10" s="146">
        <v>0.25</v>
      </c>
      <c r="O10" s="147">
        <f t="shared" si="0"/>
        <v>796017.16562500002</v>
      </c>
      <c r="P10" s="147">
        <f t="shared" si="2"/>
        <v>3980085.828125</v>
      </c>
      <c r="Q10" s="147">
        <f t="shared" si="1"/>
        <v>1238362.171875</v>
      </c>
      <c r="R10" s="152">
        <v>2033</v>
      </c>
      <c r="S10" s="156"/>
      <c r="T10" s="135" t="s">
        <v>138</v>
      </c>
      <c r="U10" s="156" t="s">
        <v>139</v>
      </c>
      <c r="V10" s="156" t="s">
        <v>140</v>
      </c>
      <c r="W10" s="156"/>
    </row>
    <row r="11" spans="1:23">
      <c r="A11" s="19"/>
      <c r="B11" s="20"/>
      <c r="C11" s="20"/>
      <c r="D11" s="20"/>
      <c r="E11" s="20"/>
      <c r="F11" s="20"/>
      <c r="G11" s="20"/>
      <c r="H11" s="20"/>
      <c r="I11" s="20"/>
      <c r="J11" s="20"/>
      <c r="K11" s="20"/>
      <c r="L11" s="20"/>
      <c r="M11" s="150">
        <f>SUM(M3:M10)</f>
        <v>57350297.039999999</v>
      </c>
      <c r="N11" s="20"/>
      <c r="O11" s="151">
        <f>SUM(O3:O10)</f>
        <v>8748160.5445781238</v>
      </c>
      <c r="P11" s="151">
        <f>SUM(P3:P10)</f>
        <v>43740802.722890623</v>
      </c>
      <c r="Q11" s="151">
        <f>SUM(Q3:Q10)</f>
        <v>13609494.317109374</v>
      </c>
      <c r="R11" s="20"/>
      <c r="S11" s="20"/>
      <c r="T11" s="20"/>
      <c r="U11" s="20"/>
      <c r="V11" s="20"/>
      <c r="W11" s="20"/>
    </row>
    <row r="12" spans="1:23" s="1" customFormat="1" ht="15.6">
      <c r="A12" s="5"/>
      <c r="E12" s="5"/>
      <c r="L12" s="6"/>
    </row>
    <row r="13" spans="1:23" s="1" customFormat="1" ht="15.6">
      <c r="A13" s="5" t="s">
        <v>1837</v>
      </c>
      <c r="E13" s="5"/>
      <c r="L13" s="6"/>
    </row>
    <row r="14" spans="1:23" s="1" customFormat="1" ht="15.6">
      <c r="A14" s="5" t="s">
        <v>1838</v>
      </c>
      <c r="C14" s="5"/>
    </row>
    <row r="15" spans="1:23" s="1" customFormat="1" ht="15.6">
      <c r="A15" s="5" t="s">
        <v>1839</v>
      </c>
      <c r="C15" s="5"/>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DE22A-5B73-4A1E-89CC-4223E9302283}">
  <dimension ref="A1:V72"/>
  <sheetViews>
    <sheetView zoomScaleNormal="100" workbookViewId="0">
      <pane ySplit="1" topLeftCell="A68" activePane="bottomLeft" state="frozen"/>
      <selection activeCell="E1" sqref="E1"/>
      <selection pane="bottomLeft" activeCell="C75" sqref="C75"/>
    </sheetView>
  </sheetViews>
  <sheetFormatPr defaultColWidth="9" defaultRowHeight="14.4"/>
  <cols>
    <col min="1" max="1" width="14.88671875" style="178" bestFit="1" customWidth="1"/>
    <col min="2" max="2" width="9" style="178"/>
    <col min="3" max="3" width="15.5546875" style="178" customWidth="1"/>
    <col min="4" max="4" width="15.6640625" style="178" customWidth="1"/>
    <col min="5" max="5" width="21.6640625" style="178" customWidth="1"/>
    <col min="6" max="6" width="10.6640625" style="178" customWidth="1"/>
    <col min="7" max="9" width="9" style="178"/>
    <col min="10" max="10" width="10.6640625" style="178" customWidth="1"/>
    <col min="11" max="11" width="19.6640625" style="178" customWidth="1"/>
    <col min="12" max="12" width="10.33203125" style="178" customWidth="1"/>
    <col min="13" max="14" width="13.88671875" style="178" customWidth="1"/>
    <col min="15" max="15" width="13.88671875" style="203" customWidth="1"/>
    <col min="16" max="17" width="9" style="178"/>
    <col min="18" max="18" width="16.109375" style="178" customWidth="1"/>
    <col min="19" max="16384" width="9" style="178"/>
  </cols>
  <sheetData>
    <row r="1" spans="1:22" ht="39.6">
      <c r="A1" s="187" t="s">
        <v>175</v>
      </c>
      <c r="B1" s="187" t="s">
        <v>111</v>
      </c>
      <c r="C1" s="187" t="s">
        <v>176</v>
      </c>
      <c r="D1" s="187" t="s">
        <v>177</v>
      </c>
      <c r="E1" s="187" t="s">
        <v>115</v>
      </c>
      <c r="F1" s="187" t="s">
        <v>178</v>
      </c>
      <c r="G1" s="187" t="s">
        <v>117</v>
      </c>
      <c r="H1" s="187" t="s">
        <v>118</v>
      </c>
      <c r="I1" s="187" t="s">
        <v>119</v>
      </c>
      <c r="J1" s="187" t="s">
        <v>120</v>
      </c>
      <c r="K1" s="187" t="s">
        <v>179</v>
      </c>
      <c r="L1" s="188">
        <v>0.125</v>
      </c>
      <c r="M1" s="187" t="s">
        <v>105</v>
      </c>
      <c r="N1" s="187" t="s">
        <v>123</v>
      </c>
      <c r="O1" s="189" t="s">
        <v>124</v>
      </c>
      <c r="P1" s="187" t="s">
        <v>125</v>
      </c>
      <c r="Q1" s="187" t="s">
        <v>77</v>
      </c>
      <c r="R1" s="187" t="s">
        <v>126</v>
      </c>
      <c r="S1" s="187" t="s">
        <v>127</v>
      </c>
      <c r="T1" s="187" t="s">
        <v>129</v>
      </c>
      <c r="U1" s="186"/>
      <c r="V1" s="186"/>
    </row>
    <row r="2" spans="1:22" ht="26.4">
      <c r="A2" s="187" t="s">
        <v>180</v>
      </c>
      <c r="B2" s="187" t="s">
        <v>131</v>
      </c>
      <c r="C2" s="187" t="s">
        <v>181</v>
      </c>
      <c r="D2" s="187" t="s">
        <v>182</v>
      </c>
      <c r="E2" s="187" t="s">
        <v>183</v>
      </c>
      <c r="F2" s="187">
        <v>2017</v>
      </c>
      <c r="G2" s="187"/>
      <c r="H2" s="187" t="s">
        <v>137</v>
      </c>
      <c r="I2" s="187" t="s">
        <v>137</v>
      </c>
      <c r="J2" s="187">
        <v>2023</v>
      </c>
      <c r="K2" s="190">
        <v>137500</v>
      </c>
      <c r="L2" s="188">
        <v>0.125</v>
      </c>
      <c r="M2" s="190">
        <f>N2/(2025-F2)</f>
        <v>11281.721759587526</v>
      </c>
      <c r="N2" s="190">
        <f>K2-O2</f>
        <v>90253.774076700211</v>
      </c>
      <c r="O2" s="191">
        <f>K2*(1-L2)^(2025-F2)</f>
        <v>47246.225923299789</v>
      </c>
      <c r="P2" s="187"/>
      <c r="Q2" s="187"/>
      <c r="R2" s="187" t="s">
        <v>184</v>
      </c>
      <c r="S2" s="187" t="s">
        <v>139</v>
      </c>
      <c r="T2" s="187" t="s">
        <v>185</v>
      </c>
      <c r="U2" s="186"/>
      <c r="V2" s="186"/>
    </row>
    <row r="3" spans="1:22" ht="39.6">
      <c r="A3" s="192" t="s">
        <v>701</v>
      </c>
      <c r="B3" s="187" t="s">
        <v>131</v>
      </c>
      <c r="C3" s="193" t="s">
        <v>702</v>
      </c>
      <c r="D3" s="187" t="s">
        <v>703</v>
      </c>
      <c r="E3" s="187" t="s">
        <v>704</v>
      </c>
      <c r="F3" s="187">
        <v>2008</v>
      </c>
      <c r="G3" s="187"/>
      <c r="H3" s="187" t="s">
        <v>137</v>
      </c>
      <c r="I3" s="187" t="s">
        <v>137</v>
      </c>
      <c r="J3" s="187">
        <v>2023</v>
      </c>
      <c r="K3" s="190">
        <v>108936</v>
      </c>
      <c r="L3" s="188">
        <v>0.125</v>
      </c>
      <c r="M3" s="190">
        <f>N3/(2025-F3)</f>
        <v>5745.9978430718575</v>
      </c>
      <c r="N3" s="190">
        <f t="shared" ref="N3:N66" si="0">K3-O3</f>
        <v>97681.963332221581</v>
      </c>
      <c r="O3" s="191">
        <f t="shared" ref="O3:O66" si="1">K3*(1-L3)^(2025-F3)</f>
        <v>11254.036667778413</v>
      </c>
      <c r="P3" s="187"/>
      <c r="Q3" s="187"/>
      <c r="R3" s="187" t="s">
        <v>190</v>
      </c>
      <c r="S3" s="187" t="s">
        <v>139</v>
      </c>
      <c r="T3" s="187" t="s">
        <v>185</v>
      </c>
      <c r="U3" s="186"/>
      <c r="V3" s="186"/>
    </row>
    <row r="4" spans="1:22" ht="27">
      <c r="A4" s="192" t="s">
        <v>701</v>
      </c>
      <c r="B4" s="187" t="s">
        <v>131</v>
      </c>
      <c r="C4" s="193" t="s">
        <v>705</v>
      </c>
      <c r="D4" s="187" t="s">
        <v>706</v>
      </c>
      <c r="E4" s="192" t="s">
        <v>707</v>
      </c>
      <c r="F4" s="187">
        <v>2016</v>
      </c>
      <c r="G4" s="187"/>
      <c r="H4" s="187" t="s">
        <v>137</v>
      </c>
      <c r="I4" s="187" t="s">
        <v>137</v>
      </c>
      <c r="J4" s="187">
        <v>2023</v>
      </c>
      <c r="K4" s="190">
        <v>3701817</v>
      </c>
      <c r="L4" s="188">
        <v>0.125</v>
      </c>
      <c r="M4" s="190">
        <f t="shared" ref="M4:M66" si="2">N4/(2025-F4)</f>
        <v>287648.53776151687</v>
      </c>
      <c r="N4" s="190">
        <f t="shared" si="0"/>
        <v>2588836.8398536518</v>
      </c>
      <c r="O4" s="191">
        <f t="shared" si="1"/>
        <v>1112980.1601463482</v>
      </c>
      <c r="P4" s="187"/>
      <c r="Q4" s="187"/>
      <c r="R4" s="187" t="s">
        <v>190</v>
      </c>
      <c r="S4" s="187" t="s">
        <v>139</v>
      </c>
      <c r="T4" s="187" t="s">
        <v>185</v>
      </c>
      <c r="U4" s="186"/>
      <c r="V4" s="186"/>
    </row>
    <row r="5" spans="1:22" ht="26.4">
      <c r="A5" s="192" t="s">
        <v>186</v>
      </c>
      <c r="B5" s="187" t="s">
        <v>131</v>
      </c>
      <c r="C5" s="193"/>
      <c r="D5" s="187" t="s">
        <v>187</v>
      </c>
      <c r="E5" s="192" t="s">
        <v>188</v>
      </c>
      <c r="F5" s="187"/>
      <c r="G5" s="187"/>
      <c r="H5" s="187" t="s">
        <v>189</v>
      </c>
      <c r="I5" s="187" t="s">
        <v>189</v>
      </c>
      <c r="J5" s="187"/>
      <c r="K5" s="190">
        <v>26000</v>
      </c>
      <c r="L5" s="188">
        <v>0.125</v>
      </c>
      <c r="M5" s="190">
        <f t="shared" si="2"/>
        <v>12.839506172839506</v>
      </c>
      <c r="N5" s="190">
        <f t="shared" si="0"/>
        <v>26000</v>
      </c>
      <c r="O5" s="191">
        <f t="shared" si="1"/>
        <v>9.5781297995036446E-114</v>
      </c>
      <c r="P5" s="187"/>
      <c r="Q5" s="187"/>
      <c r="R5" s="187" t="s">
        <v>190</v>
      </c>
      <c r="S5" s="187" t="s">
        <v>139</v>
      </c>
      <c r="T5" s="187" t="s">
        <v>185</v>
      </c>
      <c r="U5" s="186"/>
      <c r="V5" s="186"/>
    </row>
    <row r="6" spans="1:22" ht="26.4">
      <c r="A6" s="192" t="s">
        <v>188</v>
      </c>
      <c r="B6" s="187" t="s">
        <v>131</v>
      </c>
      <c r="C6" s="193"/>
      <c r="D6" s="187" t="s">
        <v>580</v>
      </c>
      <c r="E6" s="192" t="s">
        <v>188</v>
      </c>
      <c r="F6" s="187"/>
      <c r="G6" s="187"/>
      <c r="H6" s="187" t="s">
        <v>189</v>
      </c>
      <c r="I6" s="187" t="s">
        <v>189</v>
      </c>
      <c r="J6" s="187"/>
      <c r="K6" s="190">
        <v>26000</v>
      </c>
      <c r="L6" s="188">
        <v>0.125</v>
      </c>
      <c r="M6" s="190">
        <f t="shared" si="2"/>
        <v>12.839506172839506</v>
      </c>
      <c r="N6" s="190">
        <f t="shared" si="0"/>
        <v>26000</v>
      </c>
      <c r="O6" s="191">
        <f t="shared" si="1"/>
        <v>9.5781297995036446E-114</v>
      </c>
      <c r="P6" s="187"/>
      <c r="Q6" s="187"/>
      <c r="R6" s="187" t="s">
        <v>190</v>
      </c>
      <c r="S6" s="187" t="s">
        <v>139</v>
      </c>
      <c r="T6" s="187" t="s">
        <v>185</v>
      </c>
      <c r="U6" s="186"/>
      <c r="V6" s="186"/>
    </row>
    <row r="7" spans="1:22" ht="39.6">
      <c r="A7" s="192" t="s">
        <v>701</v>
      </c>
      <c r="B7" s="187" t="s">
        <v>131</v>
      </c>
      <c r="C7" s="193" t="s">
        <v>708</v>
      </c>
      <c r="D7" s="187" t="s">
        <v>709</v>
      </c>
      <c r="E7" s="187" t="s">
        <v>710</v>
      </c>
      <c r="F7" s="187">
        <v>2012</v>
      </c>
      <c r="G7" s="187"/>
      <c r="H7" s="187" t="s">
        <v>137</v>
      </c>
      <c r="I7" s="187" t="s">
        <v>137</v>
      </c>
      <c r="J7" s="187">
        <v>2023</v>
      </c>
      <c r="K7" s="190">
        <v>1470874</v>
      </c>
      <c r="L7" s="188">
        <v>0.125</v>
      </c>
      <c r="M7" s="190">
        <f t="shared" si="2"/>
        <v>93203.618753014205</v>
      </c>
      <c r="N7" s="190">
        <f t="shared" si="0"/>
        <v>1211647.0437891847</v>
      </c>
      <c r="O7" s="191">
        <f t="shared" si="1"/>
        <v>259226.95621081532</v>
      </c>
      <c r="P7" s="187"/>
      <c r="Q7" s="187"/>
      <c r="R7" s="187" t="s">
        <v>190</v>
      </c>
      <c r="S7" s="187" t="s">
        <v>139</v>
      </c>
      <c r="T7" s="187" t="s">
        <v>185</v>
      </c>
      <c r="U7" s="186"/>
      <c r="V7" s="186"/>
    </row>
    <row r="8" spans="1:22" ht="26.4">
      <c r="A8" s="192" t="s">
        <v>701</v>
      </c>
      <c r="B8" s="187" t="s">
        <v>131</v>
      </c>
      <c r="C8" s="193" t="s">
        <v>711</v>
      </c>
      <c r="D8" s="187" t="s">
        <v>712</v>
      </c>
      <c r="E8" s="185" t="s">
        <v>713</v>
      </c>
      <c r="F8" s="185">
        <v>2021</v>
      </c>
      <c r="G8" s="187"/>
      <c r="H8" s="187" t="s">
        <v>137</v>
      </c>
      <c r="I8" s="187" t="s">
        <v>137</v>
      </c>
      <c r="J8" s="187">
        <v>2024</v>
      </c>
      <c r="K8" s="194">
        <v>4630000</v>
      </c>
      <c r="L8" s="188">
        <v>0.125</v>
      </c>
      <c r="M8" s="190">
        <f t="shared" si="2"/>
        <v>478994.7509765625</v>
      </c>
      <c r="N8" s="190">
        <f t="shared" si="0"/>
        <v>1915979.00390625</v>
      </c>
      <c r="O8" s="191">
        <f t="shared" si="1"/>
        <v>2714020.99609375</v>
      </c>
      <c r="P8" s="185"/>
      <c r="Q8" s="185"/>
      <c r="R8" s="187" t="s">
        <v>190</v>
      </c>
      <c r="S8" s="187" t="s">
        <v>139</v>
      </c>
      <c r="T8" s="187" t="s">
        <v>185</v>
      </c>
      <c r="U8" s="186"/>
      <c r="V8" s="186"/>
    </row>
    <row r="9" spans="1:22" ht="26.4">
      <c r="A9" s="192" t="s">
        <v>701</v>
      </c>
      <c r="B9" s="187" t="s">
        <v>131</v>
      </c>
      <c r="C9" s="193" t="s">
        <v>714</v>
      </c>
      <c r="D9" s="187" t="s">
        <v>715</v>
      </c>
      <c r="E9" s="185" t="s">
        <v>713</v>
      </c>
      <c r="F9" s="185">
        <v>2021</v>
      </c>
      <c r="G9" s="187"/>
      <c r="H9" s="187" t="s">
        <v>137</v>
      </c>
      <c r="I9" s="187" t="s">
        <v>137</v>
      </c>
      <c r="J9" s="187">
        <v>2024</v>
      </c>
      <c r="K9" s="194">
        <v>4630000</v>
      </c>
      <c r="L9" s="188">
        <v>0.125</v>
      </c>
      <c r="M9" s="190">
        <f t="shared" si="2"/>
        <v>478994.7509765625</v>
      </c>
      <c r="N9" s="190">
        <f t="shared" si="0"/>
        <v>1915979.00390625</v>
      </c>
      <c r="O9" s="191">
        <f t="shared" si="1"/>
        <v>2714020.99609375</v>
      </c>
      <c r="P9" s="185"/>
      <c r="Q9" s="185"/>
      <c r="R9" s="187" t="s">
        <v>190</v>
      </c>
      <c r="S9" s="187" t="s">
        <v>139</v>
      </c>
      <c r="T9" s="187" t="s">
        <v>185</v>
      </c>
      <c r="U9" s="186"/>
      <c r="V9" s="186"/>
    </row>
    <row r="10" spans="1:22" ht="26.4">
      <c r="A10" s="185" t="s">
        <v>550</v>
      </c>
      <c r="B10" s="187" t="s">
        <v>131</v>
      </c>
      <c r="C10" s="193" t="s">
        <v>716</v>
      </c>
      <c r="D10" s="187" t="s">
        <v>717</v>
      </c>
      <c r="E10" s="192" t="s">
        <v>718</v>
      </c>
      <c r="F10" s="195">
        <v>2021</v>
      </c>
      <c r="G10" s="187"/>
      <c r="H10" s="187" t="s">
        <v>137</v>
      </c>
      <c r="I10" s="187" t="s">
        <v>137</v>
      </c>
      <c r="J10" s="187">
        <v>2024</v>
      </c>
      <c r="K10" s="194">
        <v>147168</v>
      </c>
      <c r="L10" s="188">
        <v>0.125</v>
      </c>
      <c r="M10" s="190">
        <f t="shared" si="2"/>
        <v>15225.205078125</v>
      </c>
      <c r="N10" s="190">
        <f t="shared" si="0"/>
        <v>60900.8203125</v>
      </c>
      <c r="O10" s="191">
        <f t="shared" si="1"/>
        <v>86267.1796875</v>
      </c>
      <c r="P10" s="185"/>
      <c r="Q10" s="185"/>
      <c r="R10" s="187" t="s">
        <v>190</v>
      </c>
      <c r="S10" s="187" t="s">
        <v>139</v>
      </c>
      <c r="T10" s="187" t="s">
        <v>185</v>
      </c>
      <c r="U10" s="186"/>
      <c r="V10" s="186"/>
    </row>
    <row r="11" spans="1:22" ht="40.200000000000003">
      <c r="A11" s="185" t="s">
        <v>581</v>
      </c>
      <c r="B11" s="187" t="s">
        <v>131</v>
      </c>
      <c r="C11" s="193" t="s">
        <v>181</v>
      </c>
      <c r="D11" s="187"/>
      <c r="E11" s="192" t="s">
        <v>582</v>
      </c>
      <c r="F11" s="195">
        <v>2021</v>
      </c>
      <c r="G11" s="187"/>
      <c r="H11" s="187" t="s">
        <v>137</v>
      </c>
      <c r="I11" s="187" t="s">
        <v>137</v>
      </c>
      <c r="J11" s="187">
        <v>2024</v>
      </c>
      <c r="K11" s="194">
        <v>7243896</v>
      </c>
      <c r="L11" s="188">
        <v>0.125</v>
      </c>
      <c r="M11" s="190">
        <f t="shared" si="2"/>
        <v>749414.28955078125</v>
      </c>
      <c r="N11" s="190">
        <f t="shared" si="0"/>
        <v>2997657.158203125</v>
      </c>
      <c r="O11" s="191">
        <f t="shared" si="1"/>
        <v>4246238.841796875</v>
      </c>
      <c r="P11" s="185"/>
      <c r="Q11" s="185"/>
      <c r="R11" s="187" t="s">
        <v>190</v>
      </c>
      <c r="S11" s="187" t="s">
        <v>139</v>
      </c>
      <c r="T11" s="187" t="s">
        <v>185</v>
      </c>
      <c r="U11" s="186"/>
      <c r="V11" s="186"/>
    </row>
    <row r="12" spans="1:22" ht="26.4">
      <c r="A12" s="185" t="s">
        <v>188</v>
      </c>
      <c r="B12" s="185" t="s">
        <v>131</v>
      </c>
      <c r="C12" s="193" t="s">
        <v>181</v>
      </c>
      <c r="D12" s="185" t="s">
        <v>583</v>
      </c>
      <c r="E12" s="185" t="s">
        <v>188</v>
      </c>
      <c r="F12" s="185">
        <v>2021</v>
      </c>
      <c r="G12" s="185"/>
      <c r="H12" s="185" t="s">
        <v>202</v>
      </c>
      <c r="I12" s="185" t="s">
        <v>202</v>
      </c>
      <c r="J12" s="185">
        <v>2024</v>
      </c>
      <c r="K12" s="194">
        <v>26000</v>
      </c>
      <c r="L12" s="188">
        <v>0.125</v>
      </c>
      <c r="M12" s="190">
        <f t="shared" si="2"/>
        <v>2689.8193359375</v>
      </c>
      <c r="N12" s="190">
        <f t="shared" si="0"/>
        <v>10759.27734375</v>
      </c>
      <c r="O12" s="191">
        <f t="shared" si="1"/>
        <v>15240.72265625</v>
      </c>
      <c r="P12" s="185"/>
      <c r="Q12" s="185"/>
      <c r="R12" s="187" t="s">
        <v>190</v>
      </c>
      <c r="S12" s="187" t="s">
        <v>139</v>
      </c>
      <c r="T12" s="187" t="s">
        <v>185</v>
      </c>
      <c r="U12" s="186"/>
      <c r="V12" s="186"/>
    </row>
    <row r="13" spans="1:22" ht="26.4">
      <c r="A13" s="192" t="s">
        <v>188</v>
      </c>
      <c r="B13" s="187" t="s">
        <v>131</v>
      </c>
      <c r="C13" s="193" t="s">
        <v>181</v>
      </c>
      <c r="D13" s="187" t="s">
        <v>584</v>
      </c>
      <c r="E13" s="192" t="s">
        <v>188</v>
      </c>
      <c r="F13" s="187">
        <v>2021</v>
      </c>
      <c r="G13" s="187"/>
      <c r="H13" s="187" t="s">
        <v>359</v>
      </c>
      <c r="I13" s="187" t="s">
        <v>359</v>
      </c>
      <c r="J13" s="187">
        <v>2024</v>
      </c>
      <c r="K13" s="190">
        <v>26000</v>
      </c>
      <c r="L13" s="188">
        <v>0.125</v>
      </c>
      <c r="M13" s="190">
        <f t="shared" si="2"/>
        <v>2689.8193359375</v>
      </c>
      <c r="N13" s="190">
        <f t="shared" si="0"/>
        <v>10759.27734375</v>
      </c>
      <c r="O13" s="191">
        <f t="shared" si="1"/>
        <v>15240.72265625</v>
      </c>
      <c r="P13" s="187"/>
      <c r="Q13" s="187"/>
      <c r="R13" s="187" t="s">
        <v>190</v>
      </c>
      <c r="S13" s="187" t="s">
        <v>139</v>
      </c>
      <c r="T13" s="187" t="s">
        <v>185</v>
      </c>
      <c r="U13" s="186"/>
      <c r="V13" s="186"/>
    </row>
    <row r="14" spans="1:22" ht="26.4">
      <c r="A14" s="185" t="s">
        <v>200</v>
      </c>
      <c r="B14" s="185" t="s">
        <v>131</v>
      </c>
      <c r="C14" s="193" t="s">
        <v>181</v>
      </c>
      <c r="D14" s="185" t="s">
        <v>201</v>
      </c>
      <c r="E14" s="185" t="s">
        <v>200</v>
      </c>
      <c r="F14" s="185">
        <v>2021</v>
      </c>
      <c r="G14" s="185"/>
      <c r="H14" s="185" t="s">
        <v>202</v>
      </c>
      <c r="I14" s="185" t="s">
        <v>202</v>
      </c>
      <c r="J14" s="185">
        <v>2024</v>
      </c>
      <c r="K14" s="194">
        <v>18000</v>
      </c>
      <c r="L14" s="188">
        <v>0.125</v>
      </c>
      <c r="M14" s="190">
        <f t="shared" si="2"/>
        <v>1862.1826171875</v>
      </c>
      <c r="N14" s="190">
        <f t="shared" si="0"/>
        <v>7448.73046875</v>
      </c>
      <c r="O14" s="191">
        <f t="shared" si="1"/>
        <v>10551.26953125</v>
      </c>
      <c r="P14" s="185"/>
      <c r="Q14" s="185"/>
      <c r="R14" s="187" t="s">
        <v>190</v>
      </c>
      <c r="S14" s="187" t="s">
        <v>139</v>
      </c>
      <c r="T14" s="187" t="s">
        <v>185</v>
      </c>
      <c r="U14" s="186"/>
      <c r="V14" s="186"/>
    </row>
    <row r="15" spans="1:22" ht="26.4">
      <c r="A15" s="192" t="s">
        <v>203</v>
      </c>
      <c r="B15" s="185" t="s">
        <v>131</v>
      </c>
      <c r="C15" s="193" t="s">
        <v>181</v>
      </c>
      <c r="D15" s="185" t="s">
        <v>204</v>
      </c>
      <c r="E15" s="185" t="s">
        <v>205</v>
      </c>
      <c r="F15" s="185">
        <v>2021</v>
      </c>
      <c r="G15" s="185"/>
      <c r="H15" s="185" t="s">
        <v>206</v>
      </c>
      <c r="I15" s="185" t="s">
        <v>206</v>
      </c>
      <c r="J15" s="185">
        <v>2021</v>
      </c>
      <c r="K15" s="194">
        <v>27675</v>
      </c>
      <c r="L15" s="188">
        <v>0.125</v>
      </c>
      <c r="M15" s="190">
        <f t="shared" si="2"/>
        <v>2863.1057739257813</v>
      </c>
      <c r="N15" s="190">
        <f t="shared" si="0"/>
        <v>11452.423095703125</v>
      </c>
      <c r="O15" s="191">
        <f t="shared" si="1"/>
        <v>16222.576904296875</v>
      </c>
      <c r="P15" s="185"/>
      <c r="Q15" s="185"/>
      <c r="R15" s="187" t="s">
        <v>190</v>
      </c>
      <c r="S15" s="187" t="s">
        <v>139</v>
      </c>
      <c r="T15" s="187" t="s">
        <v>185</v>
      </c>
      <c r="U15" s="186"/>
      <c r="V15" s="186"/>
    </row>
    <row r="16" spans="1:22" ht="26.4">
      <c r="A16" s="185" t="s">
        <v>203</v>
      </c>
      <c r="B16" s="185" t="s">
        <v>131</v>
      </c>
      <c r="C16" s="193" t="s">
        <v>181</v>
      </c>
      <c r="D16" s="185" t="s">
        <v>207</v>
      </c>
      <c r="E16" s="185" t="s">
        <v>205</v>
      </c>
      <c r="F16" s="185">
        <v>2021</v>
      </c>
      <c r="G16" s="185"/>
      <c r="H16" s="185" t="s">
        <v>208</v>
      </c>
      <c r="I16" s="185" t="s">
        <v>208</v>
      </c>
      <c r="J16" s="185">
        <v>2021</v>
      </c>
      <c r="K16" s="194">
        <v>27675</v>
      </c>
      <c r="L16" s="188">
        <v>0.125</v>
      </c>
      <c r="M16" s="190">
        <f t="shared" si="2"/>
        <v>2863.1057739257813</v>
      </c>
      <c r="N16" s="190">
        <f t="shared" si="0"/>
        <v>11452.423095703125</v>
      </c>
      <c r="O16" s="191">
        <f t="shared" si="1"/>
        <v>16222.576904296875</v>
      </c>
      <c r="P16" s="185"/>
      <c r="Q16" s="185"/>
      <c r="R16" s="187" t="s">
        <v>190</v>
      </c>
      <c r="S16" s="187" t="s">
        <v>139</v>
      </c>
      <c r="T16" s="187" t="s">
        <v>185</v>
      </c>
      <c r="U16" s="186"/>
      <c r="V16" s="186"/>
    </row>
    <row r="17" spans="1:22" ht="26.4">
      <c r="A17" s="185" t="s">
        <v>209</v>
      </c>
      <c r="B17" s="185" t="s">
        <v>131</v>
      </c>
      <c r="C17" s="193" t="s">
        <v>181</v>
      </c>
      <c r="D17" s="185" t="s">
        <v>210</v>
      </c>
      <c r="E17" s="185" t="s">
        <v>205</v>
      </c>
      <c r="F17" s="185">
        <v>2021</v>
      </c>
      <c r="G17" s="185"/>
      <c r="H17" s="185" t="s">
        <v>189</v>
      </c>
      <c r="I17" s="185" t="s">
        <v>189</v>
      </c>
      <c r="J17" s="185">
        <v>2021</v>
      </c>
      <c r="K17" s="194">
        <v>27675</v>
      </c>
      <c r="L17" s="188">
        <v>0.125</v>
      </c>
      <c r="M17" s="190">
        <f t="shared" si="2"/>
        <v>2863.1057739257813</v>
      </c>
      <c r="N17" s="190">
        <f t="shared" si="0"/>
        <v>11452.423095703125</v>
      </c>
      <c r="O17" s="191">
        <f t="shared" si="1"/>
        <v>16222.576904296875</v>
      </c>
      <c r="P17" s="185"/>
      <c r="Q17" s="185"/>
      <c r="R17" s="187" t="s">
        <v>190</v>
      </c>
      <c r="S17" s="187" t="s">
        <v>139</v>
      </c>
      <c r="T17" s="187" t="s">
        <v>185</v>
      </c>
      <c r="U17" s="186"/>
      <c r="V17" s="186"/>
    </row>
    <row r="18" spans="1:22">
      <c r="A18" s="196" t="s">
        <v>211</v>
      </c>
      <c r="B18" s="185"/>
      <c r="C18" s="193" t="s">
        <v>181</v>
      </c>
      <c r="D18" s="185" t="s">
        <v>212</v>
      </c>
      <c r="E18" s="185" t="s">
        <v>213</v>
      </c>
      <c r="F18" s="185">
        <v>2014</v>
      </c>
      <c r="G18" s="185"/>
      <c r="H18" s="185" t="s">
        <v>137</v>
      </c>
      <c r="I18" s="185" t="s">
        <v>137</v>
      </c>
      <c r="J18" s="185"/>
      <c r="K18" s="194">
        <v>816000</v>
      </c>
      <c r="L18" s="188">
        <v>0.125</v>
      </c>
      <c r="M18" s="190">
        <f t="shared" si="2"/>
        <v>57105.821692638776</v>
      </c>
      <c r="N18" s="190">
        <f t="shared" si="0"/>
        <v>628164.03861902654</v>
      </c>
      <c r="O18" s="191">
        <f t="shared" si="1"/>
        <v>187835.96138097346</v>
      </c>
      <c r="P18" s="185"/>
      <c r="Q18" s="185"/>
      <c r="R18" s="187" t="s">
        <v>214</v>
      </c>
      <c r="S18" s="187" t="s">
        <v>139</v>
      </c>
      <c r="T18" s="187" t="s">
        <v>185</v>
      </c>
      <c r="U18" s="186"/>
      <c r="V18" s="186"/>
    </row>
    <row r="19" spans="1:22">
      <c r="A19" s="196" t="s">
        <v>211</v>
      </c>
      <c r="B19" s="185"/>
      <c r="C19" s="185" t="s">
        <v>181</v>
      </c>
      <c r="D19" s="185" t="s">
        <v>215</v>
      </c>
      <c r="E19" s="185" t="s">
        <v>213</v>
      </c>
      <c r="F19" s="185">
        <v>2020</v>
      </c>
      <c r="G19" s="185"/>
      <c r="H19" s="185" t="s">
        <v>137</v>
      </c>
      <c r="I19" s="185" t="s">
        <v>137</v>
      </c>
      <c r="J19" s="185"/>
      <c r="K19" s="194">
        <v>2837161</v>
      </c>
      <c r="L19" s="188">
        <v>0.125</v>
      </c>
      <c r="M19" s="190">
        <f t="shared" si="2"/>
        <v>276391.15430297854</v>
      </c>
      <c r="N19" s="190">
        <f t="shared" si="0"/>
        <v>1381955.7715148926</v>
      </c>
      <c r="O19" s="191">
        <f t="shared" si="1"/>
        <v>1455205.2284851074</v>
      </c>
      <c r="P19" s="185"/>
      <c r="Q19" s="185"/>
      <c r="R19" s="187" t="s">
        <v>214</v>
      </c>
      <c r="S19" s="187" t="s">
        <v>139</v>
      </c>
      <c r="T19" s="187" t="s">
        <v>185</v>
      </c>
      <c r="U19" s="186"/>
      <c r="V19" s="186"/>
    </row>
    <row r="20" spans="1:22">
      <c r="A20" s="185" t="s">
        <v>216</v>
      </c>
      <c r="B20" s="185" t="s">
        <v>131</v>
      </c>
      <c r="C20" s="185" t="s">
        <v>181</v>
      </c>
      <c r="D20" s="185" t="s">
        <v>217</v>
      </c>
      <c r="E20" s="185" t="s">
        <v>216</v>
      </c>
      <c r="F20" s="185">
        <v>2021</v>
      </c>
      <c r="G20" s="185"/>
      <c r="H20" s="185" t="s">
        <v>137</v>
      </c>
      <c r="I20" s="185" t="s">
        <v>137</v>
      </c>
      <c r="J20" s="185"/>
      <c r="K20" s="194">
        <v>90000</v>
      </c>
      <c r="L20" s="188">
        <v>0.125</v>
      </c>
      <c r="M20" s="190">
        <f t="shared" si="2"/>
        <v>9310.9130859375</v>
      </c>
      <c r="N20" s="190">
        <f t="shared" si="0"/>
        <v>37243.65234375</v>
      </c>
      <c r="O20" s="191">
        <f t="shared" si="1"/>
        <v>52756.34765625</v>
      </c>
      <c r="P20" s="185"/>
      <c r="Q20" s="185"/>
      <c r="R20" s="187" t="s">
        <v>196</v>
      </c>
      <c r="S20" s="187" t="s">
        <v>139</v>
      </c>
      <c r="T20" s="187" t="s">
        <v>185</v>
      </c>
      <c r="U20" s="186"/>
      <c r="V20" s="186"/>
    </row>
    <row r="21" spans="1:22">
      <c r="A21" s="185" t="s">
        <v>216</v>
      </c>
      <c r="B21" s="185"/>
      <c r="C21" s="185"/>
      <c r="D21" s="185"/>
      <c r="E21" s="185" t="s">
        <v>216</v>
      </c>
      <c r="F21" s="185">
        <v>2021</v>
      </c>
      <c r="G21" s="185"/>
      <c r="H21" s="185" t="s">
        <v>137</v>
      </c>
      <c r="I21" s="185" t="s">
        <v>137</v>
      </c>
      <c r="J21" s="185"/>
      <c r="K21" s="194">
        <v>90000</v>
      </c>
      <c r="L21" s="188">
        <v>0.125</v>
      </c>
      <c r="M21" s="190">
        <f t="shared" si="2"/>
        <v>9310.9130859375</v>
      </c>
      <c r="N21" s="190">
        <f t="shared" si="0"/>
        <v>37243.65234375</v>
      </c>
      <c r="O21" s="191">
        <f t="shared" si="1"/>
        <v>52756.34765625</v>
      </c>
      <c r="P21" s="185"/>
      <c r="Q21" s="185"/>
      <c r="R21" s="187" t="s">
        <v>219</v>
      </c>
      <c r="S21" s="187" t="s">
        <v>139</v>
      </c>
      <c r="T21" s="187" t="s">
        <v>185</v>
      </c>
      <c r="U21" s="186"/>
      <c r="V21" s="186"/>
    </row>
    <row r="22" spans="1:22">
      <c r="A22" s="192" t="s">
        <v>220</v>
      </c>
      <c r="B22" s="185" t="s">
        <v>131</v>
      </c>
      <c r="C22" s="185" t="s">
        <v>181</v>
      </c>
      <c r="D22" s="185" t="s">
        <v>221</v>
      </c>
      <c r="E22" s="185" t="s">
        <v>222</v>
      </c>
      <c r="F22" s="185">
        <v>2021</v>
      </c>
      <c r="G22" s="185"/>
      <c r="H22" s="185" t="s">
        <v>137</v>
      </c>
      <c r="I22" s="185" t="s">
        <v>137</v>
      </c>
      <c r="J22" s="185"/>
      <c r="K22" s="194">
        <v>29450</v>
      </c>
      <c r="L22" s="188">
        <v>0.125</v>
      </c>
      <c r="M22" s="190">
        <f t="shared" si="2"/>
        <v>3046.7376708984375</v>
      </c>
      <c r="N22" s="190">
        <f t="shared" si="0"/>
        <v>12186.95068359375</v>
      </c>
      <c r="O22" s="191">
        <f t="shared" si="1"/>
        <v>17263.04931640625</v>
      </c>
      <c r="P22" s="185"/>
      <c r="Q22" s="185"/>
      <c r="R22" s="187" t="s">
        <v>223</v>
      </c>
      <c r="S22" s="187" t="s">
        <v>139</v>
      </c>
      <c r="T22" s="187" t="s">
        <v>185</v>
      </c>
      <c r="U22" s="186"/>
      <c r="V22" s="186"/>
    </row>
    <row r="23" spans="1:22">
      <c r="A23" s="192" t="s">
        <v>220</v>
      </c>
      <c r="B23" s="185" t="s">
        <v>131</v>
      </c>
      <c r="C23" s="185" t="s">
        <v>181</v>
      </c>
      <c r="D23" s="185" t="s">
        <v>224</v>
      </c>
      <c r="E23" s="185" t="s">
        <v>222</v>
      </c>
      <c r="F23" s="185">
        <v>2021</v>
      </c>
      <c r="G23" s="185"/>
      <c r="H23" s="185" t="s">
        <v>137</v>
      </c>
      <c r="I23" s="185" t="s">
        <v>137</v>
      </c>
      <c r="J23" s="185"/>
      <c r="K23" s="194">
        <v>34162</v>
      </c>
      <c r="L23" s="188">
        <v>0.125</v>
      </c>
      <c r="M23" s="190">
        <f t="shared" si="2"/>
        <v>3534.2156982421875</v>
      </c>
      <c r="N23" s="190">
        <f t="shared" si="0"/>
        <v>14136.86279296875</v>
      </c>
      <c r="O23" s="191">
        <f t="shared" si="1"/>
        <v>20025.13720703125</v>
      </c>
      <c r="P23" s="185"/>
      <c r="Q23" s="185"/>
      <c r="R23" s="187" t="s">
        <v>225</v>
      </c>
      <c r="S23" s="187" t="s">
        <v>139</v>
      </c>
      <c r="T23" s="187" t="s">
        <v>185</v>
      </c>
      <c r="U23" s="186"/>
      <c r="V23" s="186"/>
    </row>
    <row r="24" spans="1:22">
      <c r="A24" s="192" t="s">
        <v>220</v>
      </c>
      <c r="B24" s="185" t="s">
        <v>131</v>
      </c>
      <c r="C24" s="185" t="s">
        <v>181</v>
      </c>
      <c r="D24" s="185" t="s">
        <v>226</v>
      </c>
      <c r="E24" s="185" t="s">
        <v>227</v>
      </c>
      <c r="F24" s="185">
        <v>2021</v>
      </c>
      <c r="G24" s="185"/>
      <c r="H24" s="185" t="s">
        <v>137</v>
      </c>
      <c r="I24" s="185" t="s">
        <v>137</v>
      </c>
      <c r="J24" s="185"/>
      <c r="K24" s="194">
        <v>34162</v>
      </c>
      <c r="L24" s="188">
        <v>0.125</v>
      </c>
      <c r="M24" s="190">
        <f t="shared" si="2"/>
        <v>3534.2156982421875</v>
      </c>
      <c r="N24" s="190">
        <f t="shared" si="0"/>
        <v>14136.86279296875</v>
      </c>
      <c r="O24" s="191">
        <f t="shared" si="1"/>
        <v>20025.13720703125</v>
      </c>
      <c r="P24" s="185"/>
      <c r="Q24" s="185"/>
      <c r="R24" s="187" t="s">
        <v>196</v>
      </c>
      <c r="S24" s="187" t="s">
        <v>139</v>
      </c>
      <c r="T24" s="187" t="s">
        <v>185</v>
      </c>
      <c r="U24" s="186"/>
      <c r="V24" s="186"/>
    </row>
    <row r="25" spans="1:22">
      <c r="A25" s="192" t="s">
        <v>220</v>
      </c>
      <c r="B25" s="185" t="s">
        <v>131</v>
      </c>
      <c r="C25" s="185" t="s">
        <v>181</v>
      </c>
      <c r="D25" s="185" t="s">
        <v>228</v>
      </c>
      <c r="E25" s="185" t="s">
        <v>222</v>
      </c>
      <c r="F25" s="185">
        <v>2021</v>
      </c>
      <c r="G25" s="185"/>
      <c r="H25" s="185" t="s">
        <v>137</v>
      </c>
      <c r="I25" s="185" t="s">
        <v>137</v>
      </c>
      <c r="J25" s="185"/>
      <c r="K25" s="194">
        <v>29450</v>
      </c>
      <c r="L25" s="188">
        <v>0.125</v>
      </c>
      <c r="M25" s="190">
        <f t="shared" si="2"/>
        <v>3046.7376708984375</v>
      </c>
      <c r="N25" s="190">
        <f t="shared" si="0"/>
        <v>12186.95068359375</v>
      </c>
      <c r="O25" s="191">
        <f t="shared" si="1"/>
        <v>17263.04931640625</v>
      </c>
      <c r="P25" s="185"/>
      <c r="Q25" s="185"/>
      <c r="R25" s="187" t="s">
        <v>229</v>
      </c>
      <c r="S25" s="187" t="s">
        <v>139</v>
      </c>
      <c r="T25" s="187" t="s">
        <v>185</v>
      </c>
      <c r="U25" s="186"/>
      <c r="V25" s="186"/>
    </row>
    <row r="26" spans="1:22">
      <c r="A26" s="192" t="s">
        <v>220</v>
      </c>
      <c r="B26" s="185" t="s">
        <v>131</v>
      </c>
      <c r="C26" s="185" t="s">
        <v>181</v>
      </c>
      <c r="D26" s="185" t="s">
        <v>230</v>
      </c>
      <c r="E26" s="185" t="s">
        <v>222</v>
      </c>
      <c r="F26" s="185">
        <v>2021</v>
      </c>
      <c r="G26" s="185"/>
      <c r="H26" s="185" t="s">
        <v>137</v>
      </c>
      <c r="I26" s="185" t="s">
        <v>137</v>
      </c>
      <c r="J26" s="185"/>
      <c r="K26" s="194">
        <v>34162</v>
      </c>
      <c r="L26" s="188">
        <v>0.125</v>
      </c>
      <c r="M26" s="190">
        <f t="shared" si="2"/>
        <v>3534.2156982421875</v>
      </c>
      <c r="N26" s="190">
        <f t="shared" si="0"/>
        <v>14136.86279296875</v>
      </c>
      <c r="O26" s="191">
        <f t="shared" si="1"/>
        <v>20025.13720703125</v>
      </c>
      <c r="P26" s="185"/>
      <c r="Q26" s="185"/>
      <c r="R26" s="187" t="s">
        <v>231</v>
      </c>
      <c r="S26" s="187" t="s">
        <v>139</v>
      </c>
      <c r="T26" s="187" t="s">
        <v>185</v>
      </c>
      <c r="U26" s="186"/>
      <c r="V26" s="186"/>
    </row>
    <row r="27" spans="1:22">
      <c r="A27" s="192" t="s">
        <v>220</v>
      </c>
      <c r="B27" s="185" t="s">
        <v>131</v>
      </c>
      <c r="C27" s="185" t="s">
        <v>181</v>
      </c>
      <c r="D27" s="185" t="s">
        <v>232</v>
      </c>
      <c r="E27" s="185" t="s">
        <v>222</v>
      </c>
      <c r="F27" s="185">
        <v>2021</v>
      </c>
      <c r="G27" s="185"/>
      <c r="H27" s="185" t="s">
        <v>137</v>
      </c>
      <c r="I27" s="185" t="s">
        <v>137</v>
      </c>
      <c r="J27" s="185"/>
      <c r="K27" s="194">
        <v>34162</v>
      </c>
      <c r="L27" s="188">
        <v>0.125</v>
      </c>
      <c r="M27" s="190">
        <f t="shared" si="2"/>
        <v>3534.2156982421875</v>
      </c>
      <c r="N27" s="190">
        <f t="shared" si="0"/>
        <v>14136.86279296875</v>
      </c>
      <c r="O27" s="191">
        <f t="shared" si="1"/>
        <v>20025.13720703125</v>
      </c>
      <c r="P27" s="185"/>
      <c r="Q27" s="185"/>
      <c r="R27" s="187" t="s">
        <v>231</v>
      </c>
      <c r="S27" s="187" t="s">
        <v>139</v>
      </c>
      <c r="T27" s="187" t="s">
        <v>185</v>
      </c>
      <c r="U27" s="186"/>
      <c r="V27" s="186"/>
    </row>
    <row r="28" spans="1:22">
      <c r="A28" s="192" t="s">
        <v>220</v>
      </c>
      <c r="B28" s="185" t="s">
        <v>131</v>
      </c>
      <c r="C28" s="185" t="s">
        <v>181</v>
      </c>
      <c r="D28" s="185" t="s">
        <v>233</v>
      </c>
      <c r="E28" s="185" t="s">
        <v>222</v>
      </c>
      <c r="F28" s="185">
        <v>2021</v>
      </c>
      <c r="G28" s="185"/>
      <c r="H28" s="185" t="s">
        <v>137</v>
      </c>
      <c r="I28" s="185" t="s">
        <v>137</v>
      </c>
      <c r="J28" s="185"/>
      <c r="K28" s="194">
        <v>34162</v>
      </c>
      <c r="L28" s="188">
        <v>0.125</v>
      </c>
      <c r="M28" s="190">
        <f t="shared" si="2"/>
        <v>3534.2156982421875</v>
      </c>
      <c r="N28" s="190">
        <f t="shared" si="0"/>
        <v>14136.86279296875</v>
      </c>
      <c r="O28" s="191">
        <f t="shared" si="1"/>
        <v>20025.13720703125</v>
      </c>
      <c r="P28" s="185"/>
      <c r="Q28" s="185"/>
      <c r="R28" s="187" t="s">
        <v>231</v>
      </c>
      <c r="S28" s="187" t="s">
        <v>139</v>
      </c>
      <c r="T28" s="187" t="s">
        <v>185</v>
      </c>
      <c r="U28" s="186"/>
      <c r="V28" s="186"/>
    </row>
    <row r="29" spans="1:22">
      <c r="A29" s="192" t="s">
        <v>220</v>
      </c>
      <c r="B29" s="185" t="s">
        <v>131</v>
      </c>
      <c r="C29" s="185" t="s">
        <v>181</v>
      </c>
      <c r="D29" s="185" t="s">
        <v>234</v>
      </c>
      <c r="E29" s="185" t="s">
        <v>222</v>
      </c>
      <c r="F29" s="185">
        <v>2021</v>
      </c>
      <c r="G29" s="185"/>
      <c r="H29" s="185" t="s">
        <v>137</v>
      </c>
      <c r="I29" s="185" t="s">
        <v>137</v>
      </c>
      <c r="J29" s="185"/>
      <c r="K29" s="194">
        <v>34162</v>
      </c>
      <c r="L29" s="188">
        <v>0.125</v>
      </c>
      <c r="M29" s="190">
        <f t="shared" si="2"/>
        <v>3534.2156982421875</v>
      </c>
      <c r="N29" s="190">
        <f t="shared" si="0"/>
        <v>14136.86279296875</v>
      </c>
      <c r="O29" s="191">
        <f t="shared" si="1"/>
        <v>20025.13720703125</v>
      </c>
      <c r="P29" s="185"/>
      <c r="Q29" s="185"/>
      <c r="R29" s="187" t="s">
        <v>235</v>
      </c>
      <c r="S29" s="187" t="s">
        <v>139</v>
      </c>
      <c r="T29" s="187" t="s">
        <v>185</v>
      </c>
      <c r="U29" s="186"/>
      <c r="V29" s="186"/>
    </row>
    <row r="30" spans="1:22">
      <c r="A30" s="192" t="s">
        <v>220</v>
      </c>
      <c r="B30" s="185" t="s">
        <v>131</v>
      </c>
      <c r="C30" s="185" t="s">
        <v>181</v>
      </c>
      <c r="D30" s="185" t="s">
        <v>236</v>
      </c>
      <c r="E30" s="185" t="s">
        <v>222</v>
      </c>
      <c r="F30" s="185">
        <v>2021</v>
      </c>
      <c r="G30" s="185"/>
      <c r="H30" s="185" t="s">
        <v>137</v>
      </c>
      <c r="I30" s="185" t="s">
        <v>137</v>
      </c>
      <c r="J30" s="185"/>
      <c r="K30" s="194">
        <v>34162</v>
      </c>
      <c r="L30" s="188">
        <v>0.125</v>
      </c>
      <c r="M30" s="190">
        <f t="shared" si="2"/>
        <v>3534.2156982421875</v>
      </c>
      <c r="N30" s="190">
        <f t="shared" si="0"/>
        <v>14136.86279296875</v>
      </c>
      <c r="O30" s="191">
        <f t="shared" si="1"/>
        <v>20025.13720703125</v>
      </c>
      <c r="P30" s="185"/>
      <c r="Q30" s="185"/>
      <c r="R30" s="187" t="s">
        <v>237</v>
      </c>
      <c r="S30" s="187" t="s">
        <v>139</v>
      </c>
      <c r="T30" s="187" t="s">
        <v>185</v>
      </c>
      <c r="U30" s="186"/>
      <c r="V30" s="186"/>
    </row>
    <row r="31" spans="1:22">
      <c r="A31" s="192" t="s">
        <v>220</v>
      </c>
      <c r="B31" s="185" t="s">
        <v>131</v>
      </c>
      <c r="C31" s="185" t="s">
        <v>181</v>
      </c>
      <c r="D31" s="185" t="s">
        <v>238</v>
      </c>
      <c r="E31" s="185" t="s">
        <v>222</v>
      </c>
      <c r="F31" s="185">
        <v>2021</v>
      </c>
      <c r="G31" s="185"/>
      <c r="H31" s="185" t="s">
        <v>137</v>
      </c>
      <c r="I31" s="185" t="s">
        <v>137</v>
      </c>
      <c r="J31" s="185"/>
      <c r="K31" s="194">
        <v>29450</v>
      </c>
      <c r="L31" s="188">
        <v>0.125</v>
      </c>
      <c r="M31" s="190">
        <f t="shared" si="2"/>
        <v>3046.7376708984375</v>
      </c>
      <c r="N31" s="190">
        <f t="shared" si="0"/>
        <v>12186.95068359375</v>
      </c>
      <c r="O31" s="191">
        <f t="shared" si="1"/>
        <v>17263.04931640625</v>
      </c>
      <c r="P31" s="185"/>
      <c r="Q31" s="185"/>
      <c r="R31" s="187" t="s">
        <v>239</v>
      </c>
      <c r="S31" s="187" t="s">
        <v>139</v>
      </c>
      <c r="T31" s="187" t="s">
        <v>185</v>
      </c>
      <c r="U31" s="186"/>
      <c r="V31" s="186"/>
    </row>
    <row r="32" spans="1:22">
      <c r="A32" s="192" t="s">
        <v>220</v>
      </c>
      <c r="B32" s="185" t="s">
        <v>131</v>
      </c>
      <c r="C32" s="185" t="s">
        <v>181</v>
      </c>
      <c r="D32" s="185" t="s">
        <v>240</v>
      </c>
      <c r="E32" s="185" t="s">
        <v>222</v>
      </c>
      <c r="F32" s="185">
        <v>2021</v>
      </c>
      <c r="G32" s="185"/>
      <c r="H32" s="185" t="s">
        <v>137</v>
      </c>
      <c r="I32" s="185" t="s">
        <v>137</v>
      </c>
      <c r="J32" s="185"/>
      <c r="K32" s="194">
        <v>29450</v>
      </c>
      <c r="L32" s="188">
        <v>0.125</v>
      </c>
      <c r="M32" s="190">
        <f t="shared" si="2"/>
        <v>3046.7376708984375</v>
      </c>
      <c r="N32" s="190">
        <f t="shared" si="0"/>
        <v>12186.95068359375</v>
      </c>
      <c r="O32" s="191">
        <f t="shared" si="1"/>
        <v>17263.04931640625</v>
      </c>
      <c r="P32" s="185"/>
      <c r="Q32" s="185"/>
      <c r="R32" s="187" t="s">
        <v>239</v>
      </c>
      <c r="S32" s="187" t="s">
        <v>139</v>
      </c>
      <c r="T32" s="187" t="s">
        <v>185</v>
      </c>
      <c r="U32" s="186"/>
      <c r="V32" s="186"/>
    </row>
    <row r="33" spans="1:22">
      <c r="A33" s="192" t="s">
        <v>220</v>
      </c>
      <c r="B33" s="185" t="s">
        <v>131</v>
      </c>
      <c r="C33" s="185" t="s">
        <v>181</v>
      </c>
      <c r="D33" s="185" t="s">
        <v>241</v>
      </c>
      <c r="E33" s="185" t="s">
        <v>222</v>
      </c>
      <c r="F33" s="185">
        <v>2021</v>
      </c>
      <c r="G33" s="185"/>
      <c r="H33" s="185" t="s">
        <v>137</v>
      </c>
      <c r="I33" s="185" t="s">
        <v>137</v>
      </c>
      <c r="J33" s="185"/>
      <c r="K33" s="194">
        <v>34162</v>
      </c>
      <c r="L33" s="188">
        <v>0.125</v>
      </c>
      <c r="M33" s="190">
        <f t="shared" si="2"/>
        <v>3534.2156982421875</v>
      </c>
      <c r="N33" s="190">
        <f t="shared" si="0"/>
        <v>14136.86279296875</v>
      </c>
      <c r="O33" s="191">
        <f t="shared" si="1"/>
        <v>20025.13720703125</v>
      </c>
      <c r="P33" s="185"/>
      <c r="Q33" s="185"/>
      <c r="R33" s="187" t="s">
        <v>239</v>
      </c>
      <c r="S33" s="187" t="s">
        <v>139</v>
      </c>
      <c r="T33" s="187" t="s">
        <v>185</v>
      </c>
      <c r="U33" s="186"/>
      <c r="V33" s="186"/>
    </row>
    <row r="34" spans="1:22">
      <c r="A34" s="192" t="s">
        <v>220</v>
      </c>
      <c r="B34" s="185" t="s">
        <v>131</v>
      </c>
      <c r="C34" s="185" t="s">
        <v>181</v>
      </c>
      <c r="D34" s="185" t="s">
        <v>242</v>
      </c>
      <c r="E34" s="185" t="s">
        <v>243</v>
      </c>
      <c r="F34" s="185">
        <v>2021</v>
      </c>
      <c r="G34" s="185"/>
      <c r="H34" s="185" t="s">
        <v>137</v>
      </c>
      <c r="I34" s="185" t="s">
        <v>137</v>
      </c>
      <c r="J34" s="185"/>
      <c r="K34" s="194">
        <v>29450</v>
      </c>
      <c r="L34" s="188">
        <v>0.125</v>
      </c>
      <c r="M34" s="190">
        <f t="shared" si="2"/>
        <v>3046.7376708984375</v>
      </c>
      <c r="N34" s="190">
        <f t="shared" si="0"/>
        <v>12186.95068359375</v>
      </c>
      <c r="O34" s="191">
        <f t="shared" si="1"/>
        <v>17263.04931640625</v>
      </c>
      <c r="P34" s="185"/>
      <c r="Q34" s="185"/>
      <c r="R34" s="187" t="s">
        <v>239</v>
      </c>
      <c r="S34" s="187" t="s">
        <v>139</v>
      </c>
      <c r="T34" s="187" t="s">
        <v>185</v>
      </c>
      <c r="U34" s="186"/>
      <c r="V34" s="186"/>
    </row>
    <row r="35" spans="1:22">
      <c r="A35" s="192" t="s">
        <v>220</v>
      </c>
      <c r="B35" s="185" t="s">
        <v>131</v>
      </c>
      <c r="C35" s="185" t="s">
        <v>181</v>
      </c>
      <c r="D35" s="185" t="s">
        <v>244</v>
      </c>
      <c r="E35" s="185" t="s">
        <v>222</v>
      </c>
      <c r="F35" s="185">
        <v>2021</v>
      </c>
      <c r="G35" s="185"/>
      <c r="H35" s="185" t="s">
        <v>137</v>
      </c>
      <c r="I35" s="185" t="s">
        <v>137</v>
      </c>
      <c r="J35" s="185"/>
      <c r="K35" s="194">
        <v>34162</v>
      </c>
      <c r="L35" s="188">
        <v>0.125</v>
      </c>
      <c r="M35" s="190">
        <f t="shared" si="2"/>
        <v>3534.2156982421875</v>
      </c>
      <c r="N35" s="190">
        <f t="shared" si="0"/>
        <v>14136.86279296875</v>
      </c>
      <c r="O35" s="191">
        <f t="shared" si="1"/>
        <v>20025.13720703125</v>
      </c>
      <c r="P35" s="185"/>
      <c r="Q35" s="185"/>
      <c r="R35" s="187" t="s">
        <v>239</v>
      </c>
      <c r="S35" s="187" t="s">
        <v>139</v>
      </c>
      <c r="T35" s="187" t="s">
        <v>185</v>
      </c>
      <c r="U35" s="186"/>
      <c r="V35" s="186"/>
    </row>
    <row r="36" spans="1:22">
      <c r="A36" s="192" t="s">
        <v>220</v>
      </c>
      <c r="B36" s="185" t="s">
        <v>131</v>
      </c>
      <c r="C36" s="185" t="s">
        <v>181</v>
      </c>
      <c r="D36" s="185" t="s">
        <v>245</v>
      </c>
      <c r="E36" s="185" t="s">
        <v>222</v>
      </c>
      <c r="F36" s="185">
        <v>2021</v>
      </c>
      <c r="G36" s="185"/>
      <c r="H36" s="185" t="s">
        <v>137</v>
      </c>
      <c r="I36" s="185" t="s">
        <v>137</v>
      </c>
      <c r="J36" s="185"/>
      <c r="K36" s="194">
        <v>34162</v>
      </c>
      <c r="L36" s="188">
        <v>0.125</v>
      </c>
      <c r="M36" s="190">
        <f t="shared" si="2"/>
        <v>3534.2156982421875</v>
      </c>
      <c r="N36" s="190">
        <f t="shared" si="0"/>
        <v>14136.86279296875</v>
      </c>
      <c r="O36" s="191">
        <f t="shared" si="1"/>
        <v>20025.13720703125</v>
      </c>
      <c r="P36" s="185"/>
      <c r="Q36" s="185"/>
      <c r="R36" s="187" t="s">
        <v>184</v>
      </c>
      <c r="S36" s="187" t="s">
        <v>139</v>
      </c>
      <c r="T36" s="187" t="s">
        <v>185</v>
      </c>
      <c r="U36" s="186"/>
      <c r="V36" s="186"/>
    </row>
    <row r="37" spans="1:22">
      <c r="A37" s="192" t="s">
        <v>220</v>
      </c>
      <c r="B37" s="185" t="s">
        <v>131</v>
      </c>
      <c r="C37" s="185" t="s">
        <v>181</v>
      </c>
      <c r="D37" s="185" t="s">
        <v>236</v>
      </c>
      <c r="E37" s="185" t="s">
        <v>222</v>
      </c>
      <c r="F37" s="185">
        <v>2021</v>
      </c>
      <c r="G37" s="185"/>
      <c r="H37" s="185" t="s">
        <v>137</v>
      </c>
      <c r="I37" s="185" t="s">
        <v>137</v>
      </c>
      <c r="J37" s="185"/>
      <c r="K37" s="194">
        <v>34162</v>
      </c>
      <c r="L37" s="188">
        <v>0.125</v>
      </c>
      <c r="M37" s="190">
        <f t="shared" si="2"/>
        <v>3534.2156982421875</v>
      </c>
      <c r="N37" s="190">
        <f t="shared" si="0"/>
        <v>14136.86279296875</v>
      </c>
      <c r="O37" s="191">
        <f t="shared" si="1"/>
        <v>20025.13720703125</v>
      </c>
      <c r="P37" s="185"/>
      <c r="Q37" s="185"/>
      <c r="R37" s="187" t="s">
        <v>214</v>
      </c>
      <c r="S37" s="187" t="s">
        <v>139</v>
      </c>
      <c r="T37" s="187" t="s">
        <v>185</v>
      </c>
      <c r="U37" s="186"/>
      <c r="V37" s="186"/>
    </row>
    <row r="38" spans="1:22">
      <c r="A38" s="192" t="s">
        <v>220</v>
      </c>
      <c r="B38" s="185" t="s">
        <v>131</v>
      </c>
      <c r="C38" s="185" t="s">
        <v>181</v>
      </c>
      <c r="D38" s="185" t="s">
        <v>246</v>
      </c>
      <c r="E38" s="185" t="s">
        <v>222</v>
      </c>
      <c r="F38" s="185">
        <v>2016</v>
      </c>
      <c r="G38" s="185"/>
      <c r="H38" s="185" t="s">
        <v>137</v>
      </c>
      <c r="I38" s="185" t="s">
        <v>137</v>
      </c>
      <c r="J38" s="185"/>
      <c r="K38" s="194">
        <v>22285</v>
      </c>
      <c r="L38" s="188">
        <v>0.125</v>
      </c>
      <c r="M38" s="190">
        <f t="shared" si="2"/>
        <v>1731.6489885954393</v>
      </c>
      <c r="N38" s="190">
        <f t="shared" si="0"/>
        <v>15584.840897358954</v>
      </c>
      <c r="O38" s="191">
        <f t="shared" si="1"/>
        <v>6700.159102641046</v>
      </c>
      <c r="P38" s="185"/>
      <c r="Q38" s="185"/>
      <c r="R38" s="187" t="s">
        <v>214</v>
      </c>
      <c r="S38" s="187" t="s">
        <v>139</v>
      </c>
      <c r="T38" s="187" t="s">
        <v>185</v>
      </c>
      <c r="U38" s="186"/>
      <c r="V38" s="186"/>
    </row>
    <row r="39" spans="1:22">
      <c r="A39" s="192" t="s">
        <v>220</v>
      </c>
      <c r="B39" s="185" t="s">
        <v>131</v>
      </c>
      <c r="C39" s="185" t="s">
        <v>181</v>
      </c>
      <c r="D39" s="185" t="s">
        <v>247</v>
      </c>
      <c r="E39" s="185" t="s">
        <v>222</v>
      </c>
      <c r="F39" s="185">
        <v>2016</v>
      </c>
      <c r="G39" s="185"/>
      <c r="H39" s="185" t="s">
        <v>137</v>
      </c>
      <c r="I39" s="185" t="s">
        <v>137</v>
      </c>
      <c r="J39" s="185"/>
      <c r="K39" s="194">
        <v>22285</v>
      </c>
      <c r="L39" s="188">
        <v>0.125</v>
      </c>
      <c r="M39" s="190">
        <f t="shared" si="2"/>
        <v>1731.6489885954393</v>
      </c>
      <c r="N39" s="190">
        <f t="shared" si="0"/>
        <v>15584.840897358954</v>
      </c>
      <c r="O39" s="191">
        <f t="shared" si="1"/>
        <v>6700.159102641046</v>
      </c>
      <c r="P39" s="185"/>
      <c r="Q39" s="185"/>
      <c r="R39" s="187" t="s">
        <v>214</v>
      </c>
      <c r="S39" s="187" t="s">
        <v>139</v>
      </c>
      <c r="T39" s="187" t="s">
        <v>185</v>
      </c>
      <c r="U39" s="186"/>
      <c r="V39" s="186"/>
    </row>
    <row r="40" spans="1:22">
      <c r="A40" s="192" t="s">
        <v>220</v>
      </c>
      <c r="B40" s="185" t="s">
        <v>131</v>
      </c>
      <c r="C40" s="185" t="s">
        <v>181</v>
      </c>
      <c r="D40" s="185" t="s">
        <v>248</v>
      </c>
      <c r="E40" s="185" t="s">
        <v>249</v>
      </c>
      <c r="F40" s="185">
        <v>2016</v>
      </c>
      <c r="G40" s="185"/>
      <c r="H40" s="185" t="s">
        <v>137</v>
      </c>
      <c r="I40" s="185" t="s">
        <v>137</v>
      </c>
      <c r="J40" s="185"/>
      <c r="K40" s="194">
        <v>22285</v>
      </c>
      <c r="L40" s="188">
        <v>0.125</v>
      </c>
      <c r="M40" s="190">
        <f t="shared" si="2"/>
        <v>1731.6489885954393</v>
      </c>
      <c r="N40" s="190">
        <f t="shared" si="0"/>
        <v>15584.840897358954</v>
      </c>
      <c r="O40" s="191">
        <f t="shared" si="1"/>
        <v>6700.159102641046</v>
      </c>
      <c r="P40" s="185"/>
      <c r="Q40" s="185"/>
      <c r="R40" s="187" t="s">
        <v>250</v>
      </c>
      <c r="S40" s="187" t="s">
        <v>139</v>
      </c>
      <c r="T40" s="187" t="s">
        <v>185</v>
      </c>
      <c r="U40" s="186"/>
      <c r="V40" s="186"/>
    </row>
    <row r="41" spans="1:22">
      <c r="A41" s="192" t="s">
        <v>220</v>
      </c>
      <c r="B41" s="185" t="s">
        <v>131</v>
      </c>
      <c r="C41" s="185" t="s">
        <v>181</v>
      </c>
      <c r="D41" s="185" t="s">
        <v>247</v>
      </c>
      <c r="E41" s="185" t="s">
        <v>222</v>
      </c>
      <c r="F41" s="185">
        <v>2021</v>
      </c>
      <c r="G41" s="185"/>
      <c r="H41" s="185" t="s">
        <v>206</v>
      </c>
      <c r="I41" s="185" t="s">
        <v>206</v>
      </c>
      <c r="J41" s="185"/>
      <c r="K41" s="194">
        <v>34162</v>
      </c>
      <c r="L41" s="188">
        <v>0.125</v>
      </c>
      <c r="M41" s="190">
        <f t="shared" si="2"/>
        <v>3534.2156982421875</v>
      </c>
      <c r="N41" s="190">
        <f t="shared" si="0"/>
        <v>14136.86279296875</v>
      </c>
      <c r="O41" s="191">
        <f t="shared" si="1"/>
        <v>20025.13720703125</v>
      </c>
      <c r="P41" s="185"/>
      <c r="Q41" s="185"/>
      <c r="R41" s="187" t="s">
        <v>251</v>
      </c>
      <c r="S41" s="187" t="s">
        <v>139</v>
      </c>
      <c r="T41" s="187" t="s">
        <v>185</v>
      </c>
      <c r="U41" s="186"/>
      <c r="V41" s="186"/>
    </row>
    <row r="42" spans="1:22">
      <c r="A42" s="192" t="s">
        <v>220</v>
      </c>
      <c r="B42" s="185" t="s">
        <v>131</v>
      </c>
      <c r="C42" s="185" t="s">
        <v>181</v>
      </c>
      <c r="D42" s="185" t="s">
        <v>247</v>
      </c>
      <c r="E42" s="185" t="s">
        <v>222</v>
      </c>
      <c r="F42" s="185">
        <v>2016</v>
      </c>
      <c r="G42" s="185"/>
      <c r="H42" s="185" t="s">
        <v>206</v>
      </c>
      <c r="I42" s="185" t="s">
        <v>206</v>
      </c>
      <c r="J42" s="185"/>
      <c r="K42" s="194">
        <v>22285</v>
      </c>
      <c r="L42" s="188">
        <v>0.125</v>
      </c>
      <c r="M42" s="190">
        <f t="shared" si="2"/>
        <v>1731.6489885954393</v>
      </c>
      <c r="N42" s="190">
        <f t="shared" si="0"/>
        <v>15584.840897358954</v>
      </c>
      <c r="O42" s="191">
        <f t="shared" si="1"/>
        <v>6700.159102641046</v>
      </c>
      <c r="P42" s="185"/>
      <c r="Q42" s="185"/>
      <c r="R42" s="187" t="s">
        <v>251</v>
      </c>
      <c r="S42" s="187" t="s">
        <v>139</v>
      </c>
      <c r="T42" s="187" t="s">
        <v>185</v>
      </c>
      <c r="U42" s="186"/>
      <c r="V42" s="186"/>
    </row>
    <row r="43" spans="1:22">
      <c r="A43" s="185" t="s">
        <v>216</v>
      </c>
      <c r="B43" s="185" t="s">
        <v>131</v>
      </c>
      <c r="C43" s="185" t="s">
        <v>181</v>
      </c>
      <c r="D43" s="185" t="s">
        <v>252</v>
      </c>
      <c r="E43" s="185" t="s">
        <v>216</v>
      </c>
      <c r="F43" s="185">
        <v>2016</v>
      </c>
      <c r="G43" s="185"/>
      <c r="H43" s="185" t="s">
        <v>137</v>
      </c>
      <c r="I43" s="185" t="s">
        <v>137</v>
      </c>
      <c r="J43" s="185"/>
      <c r="K43" s="194">
        <v>97000</v>
      </c>
      <c r="L43" s="188">
        <v>0.125</v>
      </c>
      <c r="M43" s="190">
        <f t="shared" si="2"/>
        <v>7537.3548078868125</v>
      </c>
      <c r="N43" s="190">
        <f t="shared" si="0"/>
        <v>67836.193270981312</v>
      </c>
      <c r="O43" s="191">
        <f t="shared" si="1"/>
        <v>29163.806729018688</v>
      </c>
      <c r="P43" s="185"/>
      <c r="Q43" s="185"/>
      <c r="R43" s="187" t="s">
        <v>250</v>
      </c>
      <c r="S43" s="187" t="s">
        <v>139</v>
      </c>
      <c r="T43" s="187" t="s">
        <v>185</v>
      </c>
      <c r="U43" s="186"/>
      <c r="V43" s="186"/>
    </row>
    <row r="44" spans="1:22">
      <c r="A44" s="185" t="s">
        <v>216</v>
      </c>
      <c r="B44" s="185" t="s">
        <v>131</v>
      </c>
      <c r="C44" s="185" t="s">
        <v>181</v>
      </c>
      <c r="D44" s="185" t="s">
        <v>253</v>
      </c>
      <c r="E44" s="185" t="s">
        <v>216</v>
      </c>
      <c r="F44" s="185">
        <v>2016</v>
      </c>
      <c r="G44" s="185"/>
      <c r="H44" s="185" t="s">
        <v>137</v>
      </c>
      <c r="I44" s="185" t="s">
        <v>137</v>
      </c>
      <c r="J44" s="185"/>
      <c r="K44" s="194">
        <v>97000</v>
      </c>
      <c r="L44" s="188">
        <v>0.125</v>
      </c>
      <c r="M44" s="190">
        <f t="shared" si="2"/>
        <v>7537.3548078868125</v>
      </c>
      <c r="N44" s="190">
        <f t="shared" si="0"/>
        <v>67836.193270981312</v>
      </c>
      <c r="O44" s="191">
        <f t="shared" si="1"/>
        <v>29163.806729018688</v>
      </c>
      <c r="P44" s="185"/>
      <c r="Q44" s="185"/>
      <c r="R44" s="187" t="s">
        <v>250</v>
      </c>
      <c r="S44" s="187" t="s">
        <v>139</v>
      </c>
      <c r="T44" s="187" t="s">
        <v>185</v>
      </c>
      <c r="U44" s="186"/>
      <c r="V44" s="186"/>
    </row>
    <row r="45" spans="1:22">
      <c r="A45" s="185" t="s">
        <v>216</v>
      </c>
      <c r="B45" s="185" t="s">
        <v>131</v>
      </c>
      <c r="C45" s="185" t="s">
        <v>181</v>
      </c>
      <c r="D45" s="185" t="s">
        <v>254</v>
      </c>
      <c r="E45" s="185" t="s">
        <v>216</v>
      </c>
      <c r="F45" s="185">
        <v>2009</v>
      </c>
      <c r="G45" s="185"/>
      <c r="H45" s="185" t="s">
        <v>137</v>
      </c>
      <c r="I45" s="185" t="s">
        <v>137</v>
      </c>
      <c r="J45" s="185"/>
      <c r="K45" s="194">
        <v>50000</v>
      </c>
      <c r="L45" s="188">
        <v>0.125</v>
      </c>
      <c r="M45" s="190">
        <f t="shared" si="2"/>
        <v>2756.0403530585977</v>
      </c>
      <c r="N45" s="190">
        <f t="shared" si="0"/>
        <v>44096.645648937563</v>
      </c>
      <c r="O45" s="191">
        <f t="shared" si="1"/>
        <v>5903.3543510624395</v>
      </c>
      <c r="P45" s="185"/>
      <c r="Q45" s="185"/>
      <c r="R45" s="187" t="s">
        <v>250</v>
      </c>
      <c r="S45" s="187" t="s">
        <v>139</v>
      </c>
      <c r="T45" s="187" t="s">
        <v>185</v>
      </c>
      <c r="U45" s="186"/>
      <c r="V45" s="186"/>
    </row>
    <row r="46" spans="1:22">
      <c r="A46" s="192" t="s">
        <v>203</v>
      </c>
      <c r="B46" s="185" t="s">
        <v>131</v>
      </c>
      <c r="C46" s="185" t="s">
        <v>181</v>
      </c>
      <c r="D46" s="185" t="s">
        <v>255</v>
      </c>
      <c r="E46" s="185" t="s">
        <v>203</v>
      </c>
      <c r="F46" s="185">
        <v>2021</v>
      </c>
      <c r="G46" s="185"/>
      <c r="H46" s="185" t="s">
        <v>137</v>
      </c>
      <c r="I46" s="185" t="s">
        <v>137</v>
      </c>
      <c r="J46" s="185"/>
      <c r="K46" s="194">
        <v>32099</v>
      </c>
      <c r="L46" s="188">
        <v>0.125</v>
      </c>
      <c r="M46" s="190">
        <f t="shared" si="2"/>
        <v>3320.7888793945313</v>
      </c>
      <c r="N46" s="190">
        <f t="shared" si="0"/>
        <v>13283.155517578125</v>
      </c>
      <c r="O46" s="191">
        <f t="shared" si="1"/>
        <v>18815.844482421875</v>
      </c>
      <c r="P46" s="185"/>
      <c r="Q46" s="185"/>
      <c r="R46" s="187" t="s">
        <v>223</v>
      </c>
      <c r="S46" s="187" t="s">
        <v>139</v>
      </c>
      <c r="T46" s="187" t="s">
        <v>185</v>
      </c>
      <c r="U46" s="186"/>
      <c r="V46" s="186"/>
    </row>
    <row r="47" spans="1:22">
      <c r="A47" s="192" t="s">
        <v>203</v>
      </c>
      <c r="B47" s="185" t="s">
        <v>131</v>
      </c>
      <c r="C47" s="185" t="s">
        <v>181</v>
      </c>
      <c r="D47" s="185" t="s">
        <v>256</v>
      </c>
      <c r="E47" s="185" t="s">
        <v>205</v>
      </c>
      <c r="F47" s="185">
        <v>2021</v>
      </c>
      <c r="G47" s="185"/>
      <c r="H47" s="185" t="s">
        <v>137</v>
      </c>
      <c r="I47" s="185" t="s">
        <v>137</v>
      </c>
      <c r="J47" s="185"/>
      <c r="K47" s="194">
        <v>32099</v>
      </c>
      <c r="L47" s="188">
        <v>0.125</v>
      </c>
      <c r="M47" s="190">
        <f t="shared" si="2"/>
        <v>3320.7888793945313</v>
      </c>
      <c r="N47" s="190">
        <f t="shared" si="0"/>
        <v>13283.155517578125</v>
      </c>
      <c r="O47" s="191">
        <f t="shared" si="1"/>
        <v>18815.844482421875</v>
      </c>
      <c r="P47" s="185"/>
      <c r="Q47" s="185"/>
      <c r="R47" s="187" t="s">
        <v>223</v>
      </c>
      <c r="S47" s="187" t="s">
        <v>139</v>
      </c>
      <c r="T47" s="187" t="s">
        <v>185</v>
      </c>
      <c r="U47" s="186"/>
      <c r="V47" s="186"/>
    </row>
    <row r="48" spans="1:22">
      <c r="A48" s="192" t="s">
        <v>203</v>
      </c>
      <c r="B48" s="185" t="s">
        <v>131</v>
      </c>
      <c r="C48" s="185" t="s">
        <v>181</v>
      </c>
      <c r="D48" s="185" t="s">
        <v>257</v>
      </c>
      <c r="E48" s="185" t="s">
        <v>203</v>
      </c>
      <c r="F48" s="185">
        <v>2021</v>
      </c>
      <c r="G48" s="185"/>
      <c r="H48" s="185" t="s">
        <v>137</v>
      </c>
      <c r="I48" s="185" t="s">
        <v>137</v>
      </c>
      <c r="J48" s="185"/>
      <c r="K48" s="194">
        <v>32099</v>
      </c>
      <c r="L48" s="188">
        <v>0.125</v>
      </c>
      <c r="M48" s="190">
        <f t="shared" si="2"/>
        <v>3320.7888793945313</v>
      </c>
      <c r="N48" s="190">
        <f t="shared" si="0"/>
        <v>13283.155517578125</v>
      </c>
      <c r="O48" s="191">
        <f t="shared" si="1"/>
        <v>18815.844482421875</v>
      </c>
      <c r="P48" s="185"/>
      <c r="Q48" s="185"/>
      <c r="R48" s="187" t="s">
        <v>223</v>
      </c>
      <c r="S48" s="187" t="s">
        <v>139</v>
      </c>
      <c r="T48" s="187" t="s">
        <v>185</v>
      </c>
      <c r="U48" s="186"/>
      <c r="V48" s="186"/>
    </row>
    <row r="49" spans="1:22">
      <c r="A49" s="192" t="s">
        <v>203</v>
      </c>
      <c r="B49" s="185" t="s">
        <v>131</v>
      </c>
      <c r="C49" s="185" t="s">
        <v>181</v>
      </c>
      <c r="D49" s="185" t="s">
        <v>258</v>
      </c>
      <c r="E49" s="185" t="s">
        <v>203</v>
      </c>
      <c r="F49" s="185">
        <v>2021</v>
      </c>
      <c r="G49" s="185"/>
      <c r="H49" s="185" t="s">
        <v>137</v>
      </c>
      <c r="I49" s="185" t="s">
        <v>137</v>
      </c>
      <c r="J49" s="185"/>
      <c r="K49" s="194">
        <v>32099</v>
      </c>
      <c r="L49" s="188">
        <v>0.125</v>
      </c>
      <c r="M49" s="190">
        <f t="shared" si="2"/>
        <v>3320.7888793945313</v>
      </c>
      <c r="N49" s="190">
        <f t="shared" si="0"/>
        <v>13283.155517578125</v>
      </c>
      <c r="O49" s="191">
        <f t="shared" si="1"/>
        <v>18815.844482421875</v>
      </c>
      <c r="P49" s="185"/>
      <c r="Q49" s="185"/>
      <c r="R49" s="187" t="s">
        <v>223</v>
      </c>
      <c r="S49" s="187"/>
      <c r="T49" s="187" t="s">
        <v>185</v>
      </c>
      <c r="U49" s="186"/>
      <c r="V49" s="186"/>
    </row>
    <row r="50" spans="1:22">
      <c r="A50" s="192" t="s">
        <v>203</v>
      </c>
      <c r="B50" s="185" t="s">
        <v>131</v>
      </c>
      <c r="C50" s="185" t="s">
        <v>181</v>
      </c>
      <c r="D50" s="185"/>
      <c r="E50" s="185" t="s">
        <v>203</v>
      </c>
      <c r="F50" s="185">
        <v>2023</v>
      </c>
      <c r="G50" s="185"/>
      <c r="H50" s="185" t="s">
        <v>137</v>
      </c>
      <c r="I50" s="185" t="s">
        <v>137</v>
      </c>
      <c r="J50" s="185"/>
      <c r="K50" s="194">
        <v>16495</v>
      </c>
      <c r="L50" s="188">
        <v>0.125</v>
      </c>
      <c r="M50" s="190">
        <f t="shared" si="2"/>
        <v>1933.0078125</v>
      </c>
      <c r="N50" s="190">
        <f t="shared" si="0"/>
        <v>3866.015625</v>
      </c>
      <c r="O50" s="191">
        <f t="shared" si="1"/>
        <v>12628.984375</v>
      </c>
      <c r="P50" s="185"/>
      <c r="Q50" s="185"/>
      <c r="R50" s="187" t="s">
        <v>223</v>
      </c>
      <c r="S50" s="187"/>
      <c r="T50" s="187" t="s">
        <v>185</v>
      </c>
      <c r="U50" s="186"/>
      <c r="V50" s="186"/>
    </row>
    <row r="51" spans="1:22">
      <c r="A51" s="192" t="s">
        <v>203</v>
      </c>
      <c r="B51" s="185" t="s">
        <v>131</v>
      </c>
      <c r="C51" s="185" t="s">
        <v>181</v>
      </c>
      <c r="D51" s="185"/>
      <c r="E51" s="185" t="s">
        <v>205</v>
      </c>
      <c r="F51" s="185">
        <v>2021</v>
      </c>
      <c r="G51" s="185"/>
      <c r="H51" s="185" t="s">
        <v>137</v>
      </c>
      <c r="I51" s="185" t="s">
        <v>137</v>
      </c>
      <c r="J51" s="185"/>
      <c r="K51" s="194">
        <v>16495</v>
      </c>
      <c r="L51" s="188">
        <v>0.125</v>
      </c>
      <c r="M51" s="190">
        <f t="shared" si="2"/>
        <v>1706.4834594726563</v>
      </c>
      <c r="N51" s="190">
        <f t="shared" si="0"/>
        <v>6825.933837890625</v>
      </c>
      <c r="O51" s="191">
        <f t="shared" si="1"/>
        <v>9669.066162109375</v>
      </c>
      <c r="P51" s="185"/>
      <c r="Q51" s="185"/>
      <c r="R51" s="187" t="s">
        <v>223</v>
      </c>
      <c r="S51" s="187" t="s">
        <v>139</v>
      </c>
      <c r="T51" s="187" t="s">
        <v>185</v>
      </c>
      <c r="U51" s="186"/>
      <c r="V51" s="186"/>
    </row>
    <row r="52" spans="1:22" ht="26.4">
      <c r="A52" s="187" t="s">
        <v>259</v>
      </c>
      <c r="B52" s="187" t="s">
        <v>131</v>
      </c>
      <c r="C52" s="185"/>
      <c r="D52" s="187" t="s">
        <v>260</v>
      </c>
      <c r="E52" s="187" t="s">
        <v>261</v>
      </c>
      <c r="F52" s="185">
        <v>2016</v>
      </c>
      <c r="G52" s="185"/>
      <c r="H52" s="187" t="s">
        <v>208</v>
      </c>
      <c r="I52" s="187" t="s">
        <v>208</v>
      </c>
      <c r="J52" s="185"/>
      <c r="K52" s="194">
        <v>22285</v>
      </c>
      <c r="L52" s="188">
        <v>0.125</v>
      </c>
      <c r="M52" s="190">
        <f t="shared" si="2"/>
        <v>1731.6489885954393</v>
      </c>
      <c r="N52" s="190">
        <f t="shared" si="0"/>
        <v>15584.840897358954</v>
      </c>
      <c r="O52" s="191">
        <f t="shared" si="1"/>
        <v>6700.159102641046</v>
      </c>
      <c r="P52" s="185"/>
      <c r="Q52" s="185"/>
      <c r="R52" s="187" t="s">
        <v>262</v>
      </c>
      <c r="S52" s="187" t="s">
        <v>139</v>
      </c>
      <c r="T52" s="187" t="s">
        <v>185</v>
      </c>
      <c r="U52" s="186"/>
      <c r="V52" s="186"/>
    </row>
    <row r="53" spans="1:22" ht="26.4">
      <c r="A53" s="187" t="s">
        <v>259</v>
      </c>
      <c r="B53" s="187" t="s">
        <v>131</v>
      </c>
      <c r="C53" s="185"/>
      <c r="D53" s="187" t="s">
        <v>263</v>
      </c>
      <c r="E53" s="187" t="s">
        <v>261</v>
      </c>
      <c r="F53" s="185">
        <v>2016</v>
      </c>
      <c r="G53" s="185"/>
      <c r="H53" s="187" t="s">
        <v>208</v>
      </c>
      <c r="I53" s="187" t="s">
        <v>208</v>
      </c>
      <c r="J53" s="185"/>
      <c r="K53" s="194">
        <v>22285</v>
      </c>
      <c r="L53" s="188">
        <v>0.125</v>
      </c>
      <c r="M53" s="190">
        <f t="shared" si="2"/>
        <v>1731.6489885954393</v>
      </c>
      <c r="N53" s="190">
        <f t="shared" si="0"/>
        <v>15584.840897358954</v>
      </c>
      <c r="O53" s="191">
        <f t="shared" si="1"/>
        <v>6700.159102641046</v>
      </c>
      <c r="P53" s="185"/>
      <c r="Q53" s="185"/>
      <c r="R53" s="187" t="s">
        <v>262</v>
      </c>
      <c r="S53" s="187" t="s">
        <v>139</v>
      </c>
      <c r="T53" s="187" t="s">
        <v>185</v>
      </c>
      <c r="U53" s="186"/>
      <c r="V53" s="186"/>
    </row>
    <row r="54" spans="1:22" ht="26.4">
      <c r="A54" s="187" t="s">
        <v>259</v>
      </c>
      <c r="B54" s="187" t="s">
        <v>131</v>
      </c>
      <c r="C54" s="185"/>
      <c r="D54" s="187" t="s">
        <v>264</v>
      </c>
      <c r="E54" s="187" t="s">
        <v>261</v>
      </c>
      <c r="F54" s="185">
        <v>2021</v>
      </c>
      <c r="G54" s="185"/>
      <c r="H54" s="187" t="s">
        <v>208</v>
      </c>
      <c r="I54" s="187" t="s">
        <v>208</v>
      </c>
      <c r="J54" s="185"/>
      <c r="K54" s="194">
        <v>34162</v>
      </c>
      <c r="L54" s="188">
        <v>0.125</v>
      </c>
      <c r="M54" s="190">
        <f t="shared" si="2"/>
        <v>3534.2156982421875</v>
      </c>
      <c r="N54" s="190">
        <f t="shared" si="0"/>
        <v>14136.86279296875</v>
      </c>
      <c r="O54" s="191">
        <f t="shared" si="1"/>
        <v>20025.13720703125</v>
      </c>
      <c r="P54" s="185"/>
      <c r="Q54" s="185"/>
      <c r="R54" s="187" t="s">
        <v>262</v>
      </c>
      <c r="S54" s="187" t="s">
        <v>139</v>
      </c>
      <c r="T54" s="187" t="s">
        <v>185</v>
      </c>
      <c r="U54" s="186"/>
      <c r="V54" s="186"/>
    </row>
    <row r="55" spans="1:22">
      <c r="A55" s="187" t="s">
        <v>265</v>
      </c>
      <c r="B55" s="185"/>
      <c r="C55" s="185"/>
      <c r="D55" s="185"/>
      <c r="E55" s="185" t="s">
        <v>266</v>
      </c>
      <c r="F55" s="185">
        <v>2016</v>
      </c>
      <c r="G55" s="185"/>
      <c r="H55" s="187" t="s">
        <v>267</v>
      </c>
      <c r="I55" s="187" t="s">
        <v>267</v>
      </c>
      <c r="J55" s="185"/>
      <c r="K55" s="194">
        <v>1410000</v>
      </c>
      <c r="L55" s="197">
        <v>0.125</v>
      </c>
      <c r="M55" s="190">
        <f t="shared" si="2"/>
        <v>109563.61112495263</v>
      </c>
      <c r="N55" s="190">
        <f t="shared" si="0"/>
        <v>986072.50012457371</v>
      </c>
      <c r="O55" s="191">
        <f t="shared" si="1"/>
        <v>423927.49987542629</v>
      </c>
      <c r="P55" s="185"/>
      <c r="Q55" s="185"/>
      <c r="R55" s="185" t="s">
        <v>239</v>
      </c>
      <c r="S55" s="185"/>
      <c r="T55" s="187" t="s">
        <v>185</v>
      </c>
      <c r="U55" s="186"/>
      <c r="V55" s="186"/>
    </row>
    <row r="56" spans="1:22" ht="26.4">
      <c r="A56" s="187" t="s">
        <v>259</v>
      </c>
      <c r="B56" s="187" t="s">
        <v>131</v>
      </c>
      <c r="C56" s="185"/>
      <c r="D56" s="187" t="s">
        <v>268</v>
      </c>
      <c r="E56" s="187" t="s">
        <v>269</v>
      </c>
      <c r="F56" s="185">
        <v>2016</v>
      </c>
      <c r="G56" s="185"/>
      <c r="H56" s="187" t="s">
        <v>206</v>
      </c>
      <c r="I56" s="187" t="s">
        <v>206</v>
      </c>
      <c r="J56" s="185"/>
      <c r="K56" s="194">
        <v>22285</v>
      </c>
      <c r="L56" s="188">
        <v>0.125</v>
      </c>
      <c r="M56" s="190">
        <f t="shared" si="2"/>
        <v>1731.6489885954393</v>
      </c>
      <c r="N56" s="190">
        <f t="shared" si="0"/>
        <v>15584.840897358954</v>
      </c>
      <c r="O56" s="191">
        <f t="shared" si="1"/>
        <v>6700.159102641046</v>
      </c>
      <c r="P56" s="185"/>
      <c r="Q56" s="185"/>
      <c r="R56" s="185" t="s">
        <v>251</v>
      </c>
      <c r="S56" s="185"/>
      <c r="T56" s="187" t="s">
        <v>185</v>
      </c>
      <c r="U56" s="186"/>
      <c r="V56" s="186"/>
    </row>
    <row r="57" spans="1:22" ht="26.4">
      <c r="A57" s="187" t="s">
        <v>259</v>
      </c>
      <c r="B57" s="187" t="s">
        <v>131</v>
      </c>
      <c r="C57" s="185"/>
      <c r="D57" s="187" t="s">
        <v>270</v>
      </c>
      <c r="E57" s="187" t="s">
        <v>269</v>
      </c>
      <c r="F57" s="185">
        <v>2021</v>
      </c>
      <c r="G57" s="185"/>
      <c r="H57" s="187" t="s">
        <v>206</v>
      </c>
      <c r="I57" s="187" t="s">
        <v>206</v>
      </c>
      <c r="J57" s="185"/>
      <c r="K57" s="194">
        <v>34162</v>
      </c>
      <c r="L57" s="188">
        <v>0.125</v>
      </c>
      <c r="M57" s="190">
        <f t="shared" si="2"/>
        <v>3534.2156982421875</v>
      </c>
      <c r="N57" s="190">
        <f t="shared" si="0"/>
        <v>14136.86279296875</v>
      </c>
      <c r="O57" s="191">
        <f t="shared" si="1"/>
        <v>20025.13720703125</v>
      </c>
      <c r="P57" s="185"/>
      <c r="Q57" s="185"/>
      <c r="R57" s="185" t="s">
        <v>251</v>
      </c>
      <c r="S57" s="185"/>
      <c r="T57" s="187" t="s">
        <v>185</v>
      </c>
      <c r="U57" s="186"/>
      <c r="V57" s="186"/>
    </row>
    <row r="58" spans="1:22" ht="26.4">
      <c r="A58" s="187" t="s">
        <v>259</v>
      </c>
      <c r="B58" s="187" t="s">
        <v>131</v>
      </c>
      <c r="C58" s="187"/>
      <c r="D58" s="187" t="s">
        <v>271</v>
      </c>
      <c r="E58" s="187" t="s">
        <v>272</v>
      </c>
      <c r="F58" s="185">
        <v>2020</v>
      </c>
      <c r="G58" s="187"/>
      <c r="H58" s="187" t="s">
        <v>137</v>
      </c>
      <c r="I58" s="187" t="s">
        <v>137</v>
      </c>
      <c r="J58" s="187">
        <v>2029</v>
      </c>
      <c r="K58" s="190">
        <v>34320</v>
      </c>
      <c r="L58" s="188">
        <v>0.125</v>
      </c>
      <c r="M58" s="190">
        <f t="shared" si="2"/>
        <v>3343.39306640625</v>
      </c>
      <c r="N58" s="190">
        <f t="shared" si="0"/>
        <v>16716.96533203125</v>
      </c>
      <c r="O58" s="191">
        <f t="shared" si="1"/>
        <v>17603.03466796875</v>
      </c>
      <c r="P58" s="187"/>
      <c r="Q58" s="187"/>
      <c r="R58" s="187" t="s">
        <v>273</v>
      </c>
      <c r="S58" s="187"/>
      <c r="T58" s="187" t="s">
        <v>185</v>
      </c>
      <c r="U58" s="186"/>
      <c r="V58" s="186"/>
    </row>
    <row r="59" spans="1:22" ht="26.4">
      <c r="A59" s="187" t="s">
        <v>259</v>
      </c>
      <c r="B59" s="187" t="s">
        <v>131</v>
      </c>
      <c r="C59" s="187"/>
      <c r="D59" s="187" t="s">
        <v>274</v>
      </c>
      <c r="E59" s="187" t="s">
        <v>272</v>
      </c>
      <c r="F59" s="185">
        <v>2020</v>
      </c>
      <c r="G59" s="187"/>
      <c r="H59" s="187" t="s">
        <v>137</v>
      </c>
      <c r="I59" s="187" t="s">
        <v>137</v>
      </c>
      <c r="J59" s="187">
        <v>2029</v>
      </c>
      <c r="K59" s="190">
        <v>34320</v>
      </c>
      <c r="L59" s="188">
        <v>0.125</v>
      </c>
      <c r="M59" s="190">
        <f t="shared" si="2"/>
        <v>3343.39306640625</v>
      </c>
      <c r="N59" s="190">
        <f t="shared" si="0"/>
        <v>16716.96533203125</v>
      </c>
      <c r="O59" s="191">
        <f t="shared" si="1"/>
        <v>17603.03466796875</v>
      </c>
      <c r="P59" s="187"/>
      <c r="Q59" s="187"/>
      <c r="R59" s="187" t="s">
        <v>223</v>
      </c>
      <c r="S59" s="187"/>
      <c r="T59" s="187" t="s">
        <v>185</v>
      </c>
      <c r="U59" s="186"/>
      <c r="V59" s="186"/>
    </row>
    <row r="60" spans="1:22" ht="26.4">
      <c r="A60" s="187" t="s">
        <v>259</v>
      </c>
      <c r="B60" s="187" t="s">
        <v>131</v>
      </c>
      <c r="C60" s="187"/>
      <c r="D60" s="187" t="s">
        <v>228</v>
      </c>
      <c r="E60" s="187" t="s">
        <v>275</v>
      </c>
      <c r="F60" s="185">
        <v>2020</v>
      </c>
      <c r="G60" s="187"/>
      <c r="H60" s="187" t="s">
        <v>137</v>
      </c>
      <c r="I60" s="187" t="s">
        <v>137</v>
      </c>
      <c r="J60" s="187">
        <v>2029</v>
      </c>
      <c r="K60" s="190">
        <v>31540</v>
      </c>
      <c r="L60" s="188">
        <v>0.125</v>
      </c>
      <c r="M60" s="190">
        <f t="shared" si="2"/>
        <v>3072.5704345703125</v>
      </c>
      <c r="N60" s="190">
        <f t="shared" si="0"/>
        <v>15362.852172851563</v>
      </c>
      <c r="O60" s="191">
        <f t="shared" si="1"/>
        <v>16177.147827148438</v>
      </c>
      <c r="P60" s="187"/>
      <c r="Q60" s="187"/>
      <c r="R60" s="187" t="s">
        <v>229</v>
      </c>
      <c r="S60" s="187"/>
      <c r="T60" s="187" t="s">
        <v>185</v>
      </c>
      <c r="U60" s="186"/>
      <c r="V60" s="186"/>
    </row>
    <row r="61" spans="1:22" ht="39.6">
      <c r="A61" s="187" t="s">
        <v>259</v>
      </c>
      <c r="B61" s="187" t="s">
        <v>131</v>
      </c>
      <c r="C61" s="187"/>
      <c r="D61" s="187"/>
      <c r="E61" s="187" t="s">
        <v>275</v>
      </c>
      <c r="F61" s="185">
        <v>2020</v>
      </c>
      <c r="G61" s="187"/>
      <c r="H61" s="187" t="s">
        <v>137</v>
      </c>
      <c r="I61" s="187" t="s">
        <v>137</v>
      </c>
      <c r="J61" s="187">
        <v>2029</v>
      </c>
      <c r="K61" s="190">
        <v>31540</v>
      </c>
      <c r="L61" s="188">
        <v>0.125</v>
      </c>
      <c r="M61" s="190">
        <f t="shared" si="2"/>
        <v>3072.5704345703125</v>
      </c>
      <c r="N61" s="190">
        <f t="shared" si="0"/>
        <v>15362.852172851563</v>
      </c>
      <c r="O61" s="191">
        <f t="shared" si="1"/>
        <v>16177.147827148438</v>
      </c>
      <c r="P61" s="187"/>
      <c r="Q61" s="187"/>
      <c r="R61" s="187" t="s">
        <v>276</v>
      </c>
      <c r="S61" s="187"/>
      <c r="T61" s="187" t="s">
        <v>185</v>
      </c>
      <c r="U61" s="186"/>
      <c r="V61" s="186"/>
    </row>
    <row r="62" spans="1:22" ht="39.6">
      <c r="A62" s="187" t="s">
        <v>259</v>
      </c>
      <c r="B62" s="187" t="s">
        <v>131</v>
      </c>
      <c r="C62" s="187"/>
      <c r="D62" s="187" t="s">
        <v>277</v>
      </c>
      <c r="E62" s="187" t="s">
        <v>278</v>
      </c>
      <c r="F62" s="185">
        <v>2020</v>
      </c>
      <c r="G62" s="187"/>
      <c r="H62" s="187" t="s">
        <v>137</v>
      </c>
      <c r="I62" s="187" t="s">
        <v>137</v>
      </c>
      <c r="J62" s="187">
        <v>2029</v>
      </c>
      <c r="K62" s="190">
        <v>14110</v>
      </c>
      <c r="L62" s="188">
        <v>0.125</v>
      </c>
      <c r="M62" s="190">
        <f t="shared" si="2"/>
        <v>1374.5709838867188</v>
      </c>
      <c r="N62" s="190">
        <f t="shared" si="0"/>
        <v>6872.8549194335938</v>
      </c>
      <c r="O62" s="191">
        <f t="shared" si="1"/>
        <v>7237.1450805664063</v>
      </c>
      <c r="P62" s="187"/>
      <c r="Q62" s="187"/>
      <c r="R62" s="187" t="s">
        <v>276</v>
      </c>
      <c r="S62" s="187"/>
      <c r="T62" s="187" t="s">
        <v>185</v>
      </c>
      <c r="U62" s="186"/>
      <c r="V62" s="186"/>
    </row>
    <row r="63" spans="1:22" ht="26.4">
      <c r="A63" s="187" t="s">
        <v>259</v>
      </c>
      <c r="B63" s="187" t="s">
        <v>131</v>
      </c>
      <c r="C63" s="187"/>
      <c r="D63" s="187" t="s">
        <v>279</v>
      </c>
      <c r="E63" s="187" t="s">
        <v>280</v>
      </c>
      <c r="F63" s="185">
        <v>2016</v>
      </c>
      <c r="G63" s="187"/>
      <c r="H63" s="187" t="s">
        <v>202</v>
      </c>
      <c r="I63" s="187" t="s">
        <v>202</v>
      </c>
      <c r="J63" s="187" t="s">
        <v>281</v>
      </c>
      <c r="K63" s="190">
        <v>22285</v>
      </c>
      <c r="L63" s="188">
        <v>0.125</v>
      </c>
      <c r="M63" s="190">
        <f t="shared" si="2"/>
        <v>1731.6489885954393</v>
      </c>
      <c r="N63" s="190">
        <f t="shared" si="0"/>
        <v>15584.840897358954</v>
      </c>
      <c r="O63" s="191">
        <f t="shared" si="1"/>
        <v>6700.159102641046</v>
      </c>
      <c r="P63" s="187"/>
      <c r="Q63" s="187"/>
      <c r="R63" s="187" t="s">
        <v>282</v>
      </c>
      <c r="S63" s="187"/>
      <c r="T63" s="187" t="s">
        <v>185</v>
      </c>
      <c r="U63" s="186"/>
      <c r="V63" s="186"/>
    </row>
    <row r="64" spans="1:22" ht="26.4">
      <c r="A64" s="187" t="s">
        <v>259</v>
      </c>
      <c r="B64" s="187" t="s">
        <v>131</v>
      </c>
      <c r="C64" s="187"/>
      <c r="D64" s="187" t="s">
        <v>283</v>
      </c>
      <c r="E64" s="187" t="s">
        <v>280</v>
      </c>
      <c r="F64" s="185">
        <v>2021</v>
      </c>
      <c r="G64" s="187"/>
      <c r="H64" s="187" t="s">
        <v>202</v>
      </c>
      <c r="I64" s="187" t="s">
        <v>202</v>
      </c>
      <c r="J64" s="187" t="s">
        <v>281</v>
      </c>
      <c r="K64" s="190">
        <v>29450</v>
      </c>
      <c r="L64" s="188">
        <v>0.125</v>
      </c>
      <c r="M64" s="190">
        <f t="shared" si="2"/>
        <v>3046.7376708984375</v>
      </c>
      <c r="N64" s="190">
        <f t="shared" si="0"/>
        <v>12186.95068359375</v>
      </c>
      <c r="O64" s="191">
        <f t="shared" si="1"/>
        <v>17263.04931640625</v>
      </c>
      <c r="P64" s="187"/>
      <c r="Q64" s="187"/>
      <c r="R64" s="187" t="s">
        <v>282</v>
      </c>
      <c r="S64" s="187"/>
      <c r="T64" s="187" t="s">
        <v>185</v>
      </c>
    </row>
    <row r="65" spans="1:20" ht="26.4">
      <c r="A65" s="187" t="s">
        <v>259</v>
      </c>
      <c r="B65" s="187" t="s">
        <v>131</v>
      </c>
      <c r="C65" s="187"/>
      <c r="D65" s="187" t="s">
        <v>284</v>
      </c>
      <c r="E65" s="187" t="s">
        <v>285</v>
      </c>
      <c r="F65" s="185">
        <v>2020</v>
      </c>
      <c r="G65" s="187"/>
      <c r="H65" s="187" t="s">
        <v>202</v>
      </c>
      <c r="I65" s="187" t="s">
        <v>202</v>
      </c>
      <c r="J65" s="187" t="s">
        <v>281</v>
      </c>
      <c r="K65" s="190">
        <v>25778</v>
      </c>
      <c r="L65" s="188">
        <v>0.125</v>
      </c>
      <c r="M65" s="190">
        <f t="shared" si="2"/>
        <v>2511.2466918945311</v>
      </c>
      <c r="N65" s="190">
        <f t="shared" si="0"/>
        <v>12556.233459472656</v>
      </c>
      <c r="O65" s="191">
        <f t="shared" si="1"/>
        <v>13221.766540527344</v>
      </c>
      <c r="P65" s="187"/>
      <c r="Q65" s="187"/>
      <c r="R65" s="187" t="s">
        <v>282</v>
      </c>
      <c r="S65" s="187"/>
      <c r="T65" s="187" t="s">
        <v>185</v>
      </c>
    </row>
    <row r="66" spans="1:20" ht="26.4">
      <c r="A66" s="187" t="s">
        <v>259</v>
      </c>
      <c r="B66" s="187" t="s">
        <v>131</v>
      </c>
      <c r="C66" s="187"/>
      <c r="D66" s="187" t="s">
        <v>286</v>
      </c>
      <c r="E66" s="187" t="s">
        <v>205</v>
      </c>
      <c r="F66" s="185">
        <v>2020</v>
      </c>
      <c r="G66" s="187"/>
      <c r="H66" s="187" t="s">
        <v>202</v>
      </c>
      <c r="I66" s="187" t="s">
        <v>202</v>
      </c>
      <c r="J66" s="187" t="s">
        <v>281</v>
      </c>
      <c r="K66" s="190">
        <v>25778</v>
      </c>
      <c r="L66" s="188">
        <v>0.125</v>
      </c>
      <c r="M66" s="190">
        <f t="shared" si="2"/>
        <v>2511.2466918945311</v>
      </c>
      <c r="N66" s="190">
        <f t="shared" si="0"/>
        <v>12556.233459472656</v>
      </c>
      <c r="O66" s="191">
        <f t="shared" si="1"/>
        <v>13221.766540527344</v>
      </c>
      <c r="P66" s="187"/>
      <c r="Q66" s="187"/>
      <c r="R66" s="187" t="s">
        <v>282</v>
      </c>
      <c r="S66" s="187"/>
      <c r="T66" s="187" t="s">
        <v>185</v>
      </c>
    </row>
    <row r="67" spans="1:20" s="201" customFormat="1">
      <c r="A67" s="198"/>
      <c r="B67" s="198"/>
      <c r="C67" s="198"/>
      <c r="D67" s="198"/>
      <c r="E67" s="198"/>
      <c r="F67" s="198"/>
      <c r="G67" s="198"/>
      <c r="H67" s="198"/>
      <c r="I67" s="198"/>
      <c r="J67" s="198"/>
      <c r="K67" s="199">
        <f>SUM(K2:K66)</f>
        <v>28954397</v>
      </c>
      <c r="L67" s="198"/>
      <c r="M67" s="200">
        <f t="shared" ref="M67:N67" si="3">SUM(M2:M66)</f>
        <v>2733643.1294524074</v>
      </c>
      <c r="N67" s="200">
        <f t="shared" si="3"/>
        <v>14800394.84772348</v>
      </c>
      <c r="O67" s="200">
        <f>SUM(O2:O66)</f>
        <v>14154002.15227652</v>
      </c>
      <c r="P67" s="198"/>
      <c r="Q67" s="198"/>
      <c r="R67" s="198"/>
      <c r="S67" s="198"/>
      <c r="T67" s="198"/>
    </row>
    <row r="69" spans="1:20" s="305" customFormat="1" ht="15.6">
      <c r="A69" s="305" t="s">
        <v>1837</v>
      </c>
      <c r="F69" s="39"/>
      <c r="G69" s="39"/>
      <c r="H69" s="39"/>
      <c r="I69" s="39"/>
      <c r="J69" s="39"/>
      <c r="O69" s="306"/>
    </row>
    <row r="70" spans="1:20" ht="15.6">
      <c r="A70" s="305" t="s">
        <v>1838</v>
      </c>
      <c r="F70"/>
      <c r="G70"/>
      <c r="H70"/>
      <c r="I70"/>
      <c r="J70"/>
      <c r="K70" s="183"/>
      <c r="L70" s="183"/>
      <c r="M70" s="183"/>
      <c r="N70" s="183"/>
      <c r="O70" s="202"/>
      <c r="P70" s="183"/>
    </row>
    <row r="71" spans="1:20" s="305" customFormat="1" ht="15.6">
      <c r="A71" s="305" t="s">
        <v>1839</v>
      </c>
      <c r="F71" s="39"/>
      <c r="G71" s="39"/>
      <c r="H71" s="39"/>
      <c r="I71" s="39"/>
      <c r="J71" s="39"/>
      <c r="O71" s="306"/>
    </row>
    <row r="72" spans="1:20" ht="15.6">
      <c r="M72" s="183"/>
      <c r="N72" s="183"/>
      <c r="O72" s="202"/>
      <c r="P72" s="183"/>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DB19-19D5-4DBC-AA5A-C917FED8EE77}">
  <dimension ref="A1:V227"/>
  <sheetViews>
    <sheetView tabSelected="1" zoomScale="90" zoomScaleNormal="90" workbookViewId="0">
      <selection activeCell="A86" sqref="A86:XFD86"/>
    </sheetView>
  </sheetViews>
  <sheetFormatPr defaultColWidth="9" defaultRowHeight="14.4"/>
  <cols>
    <col min="1" max="1" width="9" style="178"/>
    <col min="2" max="2" width="17.6640625" style="178" customWidth="1"/>
    <col min="3" max="3" width="9" style="178"/>
    <col min="4" max="4" width="22.5546875" style="178" customWidth="1"/>
    <col min="5" max="5" width="14.33203125" style="178" customWidth="1"/>
    <col min="6" max="6" width="24.6640625" style="178" customWidth="1"/>
    <col min="7" max="7" width="11.44140625" style="178" customWidth="1"/>
    <col min="8" max="9" width="9" style="178"/>
    <col min="10" max="10" width="10.109375" style="178" customWidth="1"/>
    <col min="11" max="11" width="9" style="178"/>
    <col min="12" max="12" width="16.88671875" style="178" customWidth="1"/>
    <col min="13" max="13" width="9" style="178"/>
    <col min="14" max="14" width="14.5546875" style="208" bestFit="1" customWidth="1"/>
    <col min="15" max="15" width="15.6640625" style="208" bestFit="1" customWidth="1"/>
    <col min="16" max="16" width="13.44140625" style="208" customWidth="1"/>
    <col min="17" max="17" width="11.5546875" style="178" customWidth="1"/>
    <col min="18" max="18" width="10.5546875" style="178" customWidth="1"/>
    <col min="19" max="19" width="13.6640625" style="178" customWidth="1"/>
    <col min="20" max="20" width="10.109375" style="178" customWidth="1"/>
    <col min="21" max="21" width="13.33203125" style="178" customWidth="1"/>
    <col min="22" max="16384" width="9" style="178"/>
  </cols>
  <sheetData>
    <row r="1" spans="1:21" ht="18.600000000000001" thickBot="1">
      <c r="A1" s="204" t="s">
        <v>1810</v>
      </c>
      <c r="B1" s="204"/>
      <c r="C1" s="205"/>
      <c r="D1" s="206"/>
      <c r="E1" s="207"/>
    </row>
    <row r="2" spans="1:21" ht="66">
      <c r="A2" s="209"/>
      <c r="B2" s="210" t="s">
        <v>175</v>
      </c>
      <c r="C2" s="210" t="s">
        <v>111</v>
      </c>
      <c r="D2" s="211" t="s">
        <v>176</v>
      </c>
      <c r="E2" s="212" t="s">
        <v>177</v>
      </c>
      <c r="F2" s="210" t="s">
        <v>115</v>
      </c>
      <c r="G2" s="210" t="s">
        <v>178</v>
      </c>
      <c r="H2" s="210" t="s">
        <v>117</v>
      </c>
      <c r="I2" s="210" t="s">
        <v>118</v>
      </c>
      <c r="J2" s="210" t="s">
        <v>119</v>
      </c>
      <c r="K2" s="210" t="s">
        <v>120</v>
      </c>
      <c r="L2" s="210" t="s">
        <v>179</v>
      </c>
      <c r="M2" s="210" t="s">
        <v>122</v>
      </c>
      <c r="N2" s="213" t="s">
        <v>105</v>
      </c>
      <c r="O2" s="213" t="s">
        <v>123</v>
      </c>
      <c r="P2" s="213" t="s">
        <v>124</v>
      </c>
      <c r="Q2" s="210" t="s">
        <v>125</v>
      </c>
      <c r="R2" s="210" t="s">
        <v>77</v>
      </c>
      <c r="S2" s="210" t="s">
        <v>126</v>
      </c>
      <c r="T2" s="210" t="s">
        <v>127</v>
      </c>
      <c r="U2" s="210" t="s">
        <v>129</v>
      </c>
    </row>
    <row r="3" spans="1:21" ht="82.8">
      <c r="A3" s="214"/>
      <c r="B3" s="215" t="s">
        <v>287</v>
      </c>
      <c r="C3" s="215" t="s">
        <v>131</v>
      </c>
      <c r="D3" s="216" t="s">
        <v>288</v>
      </c>
      <c r="E3" s="217" t="s">
        <v>1811</v>
      </c>
      <c r="F3" s="215" t="s">
        <v>290</v>
      </c>
      <c r="G3" s="187">
        <v>2020</v>
      </c>
      <c r="H3" s="215"/>
      <c r="I3" s="215" t="s">
        <v>137</v>
      </c>
      <c r="J3" s="215" t="s">
        <v>137</v>
      </c>
      <c r="K3" s="215">
        <v>2023</v>
      </c>
      <c r="L3" s="218">
        <v>98000</v>
      </c>
      <c r="M3" s="219">
        <v>0.3</v>
      </c>
      <c r="N3" s="220">
        <f>O3/(2025-G3)</f>
        <v>16305.828000000003</v>
      </c>
      <c r="O3" s="220">
        <f>L3-P3</f>
        <v>81529.140000000014</v>
      </c>
      <c r="P3" s="220">
        <f>L3*(1-M3)^(2025-G3)</f>
        <v>16470.859999999993</v>
      </c>
      <c r="Q3" s="215"/>
      <c r="S3" s="215" t="s">
        <v>199</v>
      </c>
      <c r="T3" s="215" t="s">
        <v>139</v>
      </c>
      <c r="U3" s="215" t="s">
        <v>194</v>
      </c>
    </row>
    <row r="4" spans="1:21" ht="82.8">
      <c r="A4" s="214"/>
      <c r="B4" s="215" t="s">
        <v>287</v>
      </c>
      <c r="C4" s="215" t="s">
        <v>131</v>
      </c>
      <c r="D4" s="216" t="s">
        <v>291</v>
      </c>
      <c r="E4" s="217" t="s">
        <v>292</v>
      </c>
      <c r="F4" s="215" t="s">
        <v>290</v>
      </c>
      <c r="G4" s="187">
        <v>2020</v>
      </c>
      <c r="H4" s="215"/>
      <c r="I4" s="215" t="s">
        <v>137</v>
      </c>
      <c r="J4" s="215" t="s">
        <v>137</v>
      </c>
      <c r="K4" s="215">
        <v>2023</v>
      </c>
      <c r="L4" s="218">
        <v>98000</v>
      </c>
      <c r="M4" s="221">
        <v>0.3</v>
      </c>
      <c r="N4" s="220">
        <f>O4/(2025-G4)</f>
        <v>16305.828000000003</v>
      </c>
      <c r="O4" s="220">
        <f>L4-P4</f>
        <v>81529.140000000014</v>
      </c>
      <c r="P4" s="220">
        <f>L4*(1-M4)^(2025-G4)</f>
        <v>16470.859999999993</v>
      </c>
      <c r="Q4" s="215"/>
      <c r="R4" s="215"/>
      <c r="S4" s="215" t="s">
        <v>469</v>
      </c>
      <c r="T4" s="215" t="s">
        <v>139</v>
      </c>
      <c r="U4" s="215" t="s">
        <v>194</v>
      </c>
    </row>
    <row r="5" spans="1:21" ht="82.8">
      <c r="A5" s="214"/>
      <c r="B5" s="215" t="s">
        <v>287</v>
      </c>
      <c r="C5" s="215" t="s">
        <v>131</v>
      </c>
      <c r="D5" s="216" t="s">
        <v>293</v>
      </c>
      <c r="E5" s="217" t="s">
        <v>294</v>
      </c>
      <c r="F5" s="215" t="s">
        <v>295</v>
      </c>
      <c r="G5" s="187">
        <v>2020</v>
      </c>
      <c r="H5" s="215"/>
      <c r="I5" s="215" t="s">
        <v>137</v>
      </c>
      <c r="J5" s="215" t="s">
        <v>137</v>
      </c>
      <c r="K5" s="215">
        <v>2023</v>
      </c>
      <c r="L5" s="218">
        <v>98000</v>
      </c>
      <c r="M5" s="221">
        <v>0.3</v>
      </c>
      <c r="N5" s="220">
        <f>O5/(2025-G5)</f>
        <v>16305.828000000003</v>
      </c>
      <c r="O5" s="220">
        <f>L5-P5</f>
        <v>81529.140000000014</v>
      </c>
      <c r="P5" s="220">
        <f>L5*(1-M5)^(2025-G5)</f>
        <v>16470.859999999993</v>
      </c>
      <c r="Q5" s="215"/>
      <c r="R5" s="215"/>
      <c r="S5" s="215" t="s">
        <v>296</v>
      </c>
      <c r="T5" s="215" t="s">
        <v>139</v>
      </c>
      <c r="U5" s="215" t="s">
        <v>194</v>
      </c>
    </row>
    <row r="6" spans="1:21" ht="82.8">
      <c r="A6" s="214"/>
      <c r="B6" s="215" t="s">
        <v>287</v>
      </c>
      <c r="C6" s="215" t="s">
        <v>131</v>
      </c>
      <c r="D6" s="216" t="s">
        <v>297</v>
      </c>
      <c r="E6" s="217" t="s">
        <v>1812</v>
      </c>
      <c r="F6" s="215" t="s">
        <v>290</v>
      </c>
      <c r="G6" s="187">
        <v>2020</v>
      </c>
      <c r="H6" s="215"/>
      <c r="I6" s="215" t="s">
        <v>137</v>
      </c>
      <c r="J6" s="215" t="s">
        <v>137</v>
      </c>
      <c r="K6" s="215">
        <v>2023</v>
      </c>
      <c r="L6" s="218">
        <v>98000</v>
      </c>
      <c r="M6" s="221">
        <v>0.3</v>
      </c>
      <c r="N6" s="220">
        <f>O6/(2025-G6)</f>
        <v>16305.828000000003</v>
      </c>
      <c r="O6" s="220">
        <f>L6-P6</f>
        <v>81529.140000000014</v>
      </c>
      <c r="P6" s="220">
        <f>L6*(1-M6)^(2025-G6)</f>
        <v>16470.859999999993</v>
      </c>
      <c r="Q6" s="215"/>
      <c r="R6" s="215"/>
      <c r="S6" s="215" t="s">
        <v>298</v>
      </c>
      <c r="T6" s="215" t="s">
        <v>139</v>
      </c>
      <c r="U6" s="215" t="s">
        <v>194</v>
      </c>
    </row>
    <row r="7" spans="1:21" ht="82.8">
      <c r="A7" s="214"/>
      <c r="B7" s="215" t="s">
        <v>287</v>
      </c>
      <c r="C7" s="215" t="s">
        <v>131</v>
      </c>
      <c r="D7" s="216" t="s">
        <v>299</v>
      </c>
      <c r="E7" s="217" t="s">
        <v>300</v>
      </c>
      <c r="F7" s="215" t="s">
        <v>290</v>
      </c>
      <c r="G7" s="187">
        <v>2020</v>
      </c>
      <c r="H7" s="215"/>
      <c r="I7" s="215" t="s">
        <v>137</v>
      </c>
      <c r="J7" s="215" t="s">
        <v>137</v>
      </c>
      <c r="K7" s="215">
        <v>2023</v>
      </c>
      <c r="L7" s="218">
        <v>98000</v>
      </c>
      <c r="M7" s="221">
        <v>0.3</v>
      </c>
      <c r="N7" s="220">
        <f>O7/(2025-G7)</f>
        <v>16305.828000000003</v>
      </c>
      <c r="O7" s="220">
        <f>L7-P7</f>
        <v>81529.140000000014</v>
      </c>
      <c r="P7" s="220">
        <f>L7*(1-M7)^(2025-G7)</f>
        <v>16470.859999999993</v>
      </c>
      <c r="Q7" s="215"/>
      <c r="R7" s="215"/>
      <c r="S7" s="215" t="s">
        <v>301</v>
      </c>
      <c r="T7" s="215" t="s">
        <v>139</v>
      </c>
      <c r="U7" s="215" t="s">
        <v>194</v>
      </c>
    </row>
    <row r="8" spans="1:21" ht="82.8">
      <c r="A8" s="214"/>
      <c r="B8" s="215" t="s">
        <v>287</v>
      </c>
      <c r="C8" s="215" t="s">
        <v>131</v>
      </c>
      <c r="D8" s="216" t="s">
        <v>302</v>
      </c>
      <c r="E8" s="217" t="s">
        <v>303</v>
      </c>
      <c r="F8" s="215" t="s">
        <v>290</v>
      </c>
      <c r="G8" s="187">
        <v>2020</v>
      </c>
      <c r="H8" s="215"/>
      <c r="I8" s="215" t="s">
        <v>137</v>
      </c>
      <c r="J8" s="215" t="s">
        <v>137</v>
      </c>
      <c r="K8" s="215">
        <v>2023</v>
      </c>
      <c r="L8" s="218">
        <v>98000</v>
      </c>
      <c r="M8" s="221">
        <v>0.3</v>
      </c>
      <c r="N8" s="220">
        <f>O8/(2025-G8)</f>
        <v>16305.828000000003</v>
      </c>
      <c r="O8" s="220">
        <f>L8-P8</f>
        <v>81529.140000000014</v>
      </c>
      <c r="P8" s="220">
        <f>L8*(1-M8)^(2025-G8)</f>
        <v>16470.859999999993</v>
      </c>
      <c r="Q8" s="215"/>
      <c r="R8" s="215"/>
      <c r="S8" s="215" t="s">
        <v>1813</v>
      </c>
      <c r="T8" s="215" t="s">
        <v>139</v>
      </c>
      <c r="U8" s="215" t="s">
        <v>194</v>
      </c>
    </row>
    <row r="9" spans="1:21" ht="82.8">
      <c r="A9" s="214"/>
      <c r="B9" s="215" t="s">
        <v>287</v>
      </c>
      <c r="C9" s="215" t="s">
        <v>131</v>
      </c>
      <c r="D9" s="216" t="s">
        <v>305</v>
      </c>
      <c r="E9" s="217" t="s">
        <v>306</v>
      </c>
      <c r="F9" s="215" t="s">
        <v>290</v>
      </c>
      <c r="G9" s="187">
        <v>2020</v>
      </c>
      <c r="H9" s="215"/>
      <c r="I9" s="215" t="s">
        <v>137</v>
      </c>
      <c r="J9" s="215" t="s">
        <v>137</v>
      </c>
      <c r="K9" s="215">
        <v>2023</v>
      </c>
      <c r="L9" s="218">
        <v>98000</v>
      </c>
      <c r="M9" s="221">
        <v>0.3</v>
      </c>
      <c r="N9" s="220">
        <f>O9/(2025-G9)</f>
        <v>16305.828000000003</v>
      </c>
      <c r="O9" s="220">
        <f>L9-P9</f>
        <v>81529.140000000014</v>
      </c>
      <c r="P9" s="220">
        <f>L9*(1-M9)^(2025-G9)</f>
        <v>16470.859999999993</v>
      </c>
      <c r="Q9" s="215"/>
      <c r="R9" s="215"/>
      <c r="S9" s="215" t="s">
        <v>1814</v>
      </c>
      <c r="T9" s="215" t="s">
        <v>139</v>
      </c>
      <c r="U9" s="215" t="s">
        <v>194</v>
      </c>
    </row>
    <row r="10" spans="1:21" ht="82.8">
      <c r="A10" s="214"/>
      <c r="B10" s="215" t="s">
        <v>287</v>
      </c>
      <c r="C10" s="215" t="s">
        <v>131</v>
      </c>
      <c r="D10" s="216" t="s">
        <v>308</v>
      </c>
      <c r="E10" s="217" t="s">
        <v>309</v>
      </c>
      <c r="F10" s="215" t="s">
        <v>290</v>
      </c>
      <c r="G10" s="187">
        <v>2020</v>
      </c>
      <c r="H10" s="215"/>
      <c r="I10" s="215" t="s">
        <v>137</v>
      </c>
      <c r="J10" s="215" t="s">
        <v>137</v>
      </c>
      <c r="K10" s="215">
        <v>2023</v>
      </c>
      <c r="L10" s="218">
        <v>98000</v>
      </c>
      <c r="M10" s="221">
        <v>0.3</v>
      </c>
      <c r="N10" s="220">
        <f>O10/(2025-G10)</f>
        <v>16305.828000000003</v>
      </c>
      <c r="O10" s="220">
        <f>L10-P10</f>
        <v>81529.140000000014</v>
      </c>
      <c r="P10" s="220">
        <f>L10*(1-M10)^(2025-G10)</f>
        <v>16470.859999999993</v>
      </c>
      <c r="Q10" s="215"/>
      <c r="R10" s="215"/>
      <c r="S10" s="215" t="s">
        <v>310</v>
      </c>
      <c r="T10" s="215" t="s">
        <v>139</v>
      </c>
      <c r="U10" s="215" t="s">
        <v>194</v>
      </c>
    </row>
    <row r="11" spans="1:21" ht="82.8">
      <c r="A11" s="214"/>
      <c r="B11" s="215" t="s">
        <v>287</v>
      </c>
      <c r="C11" s="215" t="s">
        <v>131</v>
      </c>
      <c r="D11" s="216" t="s">
        <v>311</v>
      </c>
      <c r="E11" s="217" t="s">
        <v>312</v>
      </c>
      <c r="F11" s="215" t="s">
        <v>290</v>
      </c>
      <c r="G11" s="187">
        <v>2020</v>
      </c>
      <c r="H11" s="215"/>
      <c r="I11" s="215" t="s">
        <v>137</v>
      </c>
      <c r="J11" s="215" t="s">
        <v>137</v>
      </c>
      <c r="K11" s="215">
        <v>2023</v>
      </c>
      <c r="L11" s="218">
        <v>98000</v>
      </c>
      <c r="M11" s="221">
        <v>0.3</v>
      </c>
      <c r="N11" s="220">
        <f>O11/(2025-G11)</f>
        <v>16305.828000000003</v>
      </c>
      <c r="O11" s="220">
        <f>L11-P11</f>
        <v>81529.140000000014</v>
      </c>
      <c r="P11" s="220">
        <f>L11*(1-M11)^(2025-G11)</f>
        <v>16470.859999999993</v>
      </c>
      <c r="Q11" s="215"/>
      <c r="R11" s="215"/>
      <c r="S11" s="215" t="s">
        <v>441</v>
      </c>
      <c r="T11" s="215" t="s">
        <v>139</v>
      </c>
      <c r="U11" s="215" t="s">
        <v>194</v>
      </c>
    </row>
    <row r="12" spans="1:21" ht="82.8">
      <c r="A12" s="214"/>
      <c r="B12" s="215" t="s">
        <v>287</v>
      </c>
      <c r="C12" s="215" t="s">
        <v>131</v>
      </c>
      <c r="D12" s="216" t="s">
        <v>313</v>
      </c>
      <c r="E12" s="217" t="s">
        <v>314</v>
      </c>
      <c r="F12" s="215" t="s">
        <v>290</v>
      </c>
      <c r="G12" s="187">
        <v>2020</v>
      </c>
      <c r="H12" s="215"/>
      <c r="I12" s="215" t="s">
        <v>137</v>
      </c>
      <c r="J12" s="215" t="s">
        <v>137</v>
      </c>
      <c r="K12" s="215">
        <v>2023</v>
      </c>
      <c r="L12" s="218">
        <v>98000</v>
      </c>
      <c r="M12" s="221">
        <v>0.3</v>
      </c>
      <c r="N12" s="220">
        <f>O12/(2025-G12)</f>
        <v>16305.828000000003</v>
      </c>
      <c r="O12" s="220">
        <f>L12-P12</f>
        <v>81529.140000000014</v>
      </c>
      <c r="P12" s="220">
        <f>L12*(1-M12)^(2025-G12)</f>
        <v>16470.859999999993</v>
      </c>
      <c r="Q12" s="215"/>
      <c r="R12" s="215"/>
      <c r="S12" s="215" t="s">
        <v>315</v>
      </c>
      <c r="T12" s="215" t="s">
        <v>139</v>
      </c>
      <c r="U12" s="215" t="s">
        <v>194</v>
      </c>
    </row>
    <row r="13" spans="1:21" ht="82.8">
      <c r="A13" s="214"/>
      <c r="B13" s="215" t="s">
        <v>287</v>
      </c>
      <c r="C13" s="215" t="s">
        <v>131</v>
      </c>
      <c r="D13" s="216" t="s">
        <v>316</v>
      </c>
      <c r="E13" s="217" t="s">
        <v>317</v>
      </c>
      <c r="F13" s="215" t="s">
        <v>290</v>
      </c>
      <c r="G13" s="187">
        <v>2020</v>
      </c>
      <c r="H13" s="215"/>
      <c r="I13" s="215" t="s">
        <v>137</v>
      </c>
      <c r="J13" s="215" t="s">
        <v>137</v>
      </c>
      <c r="K13" s="215">
        <v>2023</v>
      </c>
      <c r="L13" s="218">
        <v>98000</v>
      </c>
      <c r="M13" s="221">
        <v>0.3</v>
      </c>
      <c r="N13" s="220">
        <f>O13/(2025-G13)</f>
        <v>16305.828000000003</v>
      </c>
      <c r="O13" s="220">
        <f>L13-P13</f>
        <v>81529.140000000014</v>
      </c>
      <c r="P13" s="220">
        <f>L13*(1-M13)^(2025-G13)</f>
        <v>16470.859999999993</v>
      </c>
      <c r="Q13" s="215"/>
      <c r="R13" s="215"/>
      <c r="S13" s="215" t="s">
        <v>318</v>
      </c>
      <c r="T13" s="215" t="s">
        <v>139</v>
      </c>
      <c r="U13" s="215" t="s">
        <v>194</v>
      </c>
    </row>
    <row r="14" spans="1:21" ht="82.8">
      <c r="A14" s="214"/>
      <c r="B14" s="215" t="s">
        <v>287</v>
      </c>
      <c r="C14" s="215" t="s">
        <v>131</v>
      </c>
      <c r="D14" s="216" t="s">
        <v>320</v>
      </c>
      <c r="E14" s="217" t="s">
        <v>314</v>
      </c>
      <c r="F14" s="215" t="s">
        <v>290</v>
      </c>
      <c r="G14" s="187">
        <v>2020</v>
      </c>
      <c r="H14" s="215"/>
      <c r="I14" s="215" t="s">
        <v>137</v>
      </c>
      <c r="J14" s="215" t="s">
        <v>137</v>
      </c>
      <c r="K14" s="215">
        <v>2023</v>
      </c>
      <c r="L14" s="218">
        <v>98000</v>
      </c>
      <c r="M14" s="222">
        <v>0.3</v>
      </c>
      <c r="N14" s="220">
        <f>O14/(2025-G14)</f>
        <v>16305.828000000003</v>
      </c>
      <c r="O14" s="220">
        <f>L14-P14</f>
        <v>81529.140000000014</v>
      </c>
      <c r="P14" s="220">
        <f>L14*(1-M14)^(2025-G14)</f>
        <v>16470.859999999993</v>
      </c>
      <c r="Q14" s="215"/>
      <c r="R14" s="215"/>
      <c r="S14" s="215" t="s">
        <v>321</v>
      </c>
      <c r="T14" s="215" t="s">
        <v>139</v>
      </c>
      <c r="U14" s="215" t="s">
        <v>194</v>
      </c>
    </row>
    <row r="15" spans="1:21" ht="82.8">
      <c r="A15" s="214"/>
      <c r="B15" s="215" t="s">
        <v>287</v>
      </c>
      <c r="C15" s="215" t="s">
        <v>131</v>
      </c>
      <c r="D15" s="216" t="s">
        <v>322</v>
      </c>
      <c r="E15" s="217" t="s">
        <v>323</v>
      </c>
      <c r="F15" s="215" t="s">
        <v>290</v>
      </c>
      <c r="G15" s="187">
        <v>2020</v>
      </c>
      <c r="H15" s="215"/>
      <c r="I15" s="215" t="s">
        <v>137</v>
      </c>
      <c r="J15" s="215" t="s">
        <v>137</v>
      </c>
      <c r="K15" s="215">
        <v>2023</v>
      </c>
      <c r="L15" s="218">
        <v>98000</v>
      </c>
      <c r="M15" s="222">
        <v>0.3</v>
      </c>
      <c r="N15" s="220">
        <f>O15/(2025-G15)</f>
        <v>16305.828000000003</v>
      </c>
      <c r="O15" s="220">
        <f>L15-P15</f>
        <v>81529.140000000014</v>
      </c>
      <c r="P15" s="220">
        <f>L15*(1-M15)^(2025-G15)</f>
        <v>16470.859999999993</v>
      </c>
      <c r="Q15" s="215"/>
      <c r="R15" s="215"/>
      <c r="S15" s="215" t="s">
        <v>324</v>
      </c>
      <c r="T15" s="215" t="s">
        <v>139</v>
      </c>
      <c r="U15" s="215" t="s">
        <v>194</v>
      </c>
    </row>
    <row r="16" spans="1:21" ht="82.8">
      <c r="A16" s="214"/>
      <c r="B16" s="215" t="s">
        <v>287</v>
      </c>
      <c r="C16" s="215" t="s">
        <v>131</v>
      </c>
      <c r="D16" s="216" t="s">
        <v>325</v>
      </c>
      <c r="E16" s="217" t="s">
        <v>326</v>
      </c>
      <c r="F16" s="215" t="s">
        <v>290</v>
      </c>
      <c r="G16" s="187">
        <v>2020</v>
      </c>
      <c r="H16" s="215"/>
      <c r="I16" s="215" t="s">
        <v>137</v>
      </c>
      <c r="J16" s="215" t="s">
        <v>137</v>
      </c>
      <c r="K16" s="215">
        <v>2023</v>
      </c>
      <c r="L16" s="218">
        <v>98000</v>
      </c>
      <c r="M16" s="222">
        <v>0.3</v>
      </c>
      <c r="N16" s="220">
        <f>O16/(2025-G16)</f>
        <v>16305.828000000003</v>
      </c>
      <c r="O16" s="220">
        <f>L16-P16</f>
        <v>81529.140000000014</v>
      </c>
      <c r="P16" s="220">
        <f>L16*(1-M16)^(2025-G16)</f>
        <v>16470.859999999993</v>
      </c>
      <c r="Q16" s="215"/>
      <c r="R16" s="215"/>
      <c r="S16" s="215" t="s">
        <v>327</v>
      </c>
      <c r="T16" s="215" t="s">
        <v>139</v>
      </c>
      <c r="U16" s="215" t="s">
        <v>194</v>
      </c>
    </row>
    <row r="17" spans="1:21" ht="82.8">
      <c r="A17" s="214"/>
      <c r="B17" s="215" t="s">
        <v>287</v>
      </c>
      <c r="C17" s="215" t="s">
        <v>131</v>
      </c>
      <c r="D17" s="216" t="s">
        <v>328</v>
      </c>
      <c r="E17" s="217" t="s">
        <v>329</v>
      </c>
      <c r="F17" s="215" t="s">
        <v>290</v>
      </c>
      <c r="G17" s="187">
        <v>2020</v>
      </c>
      <c r="H17" s="215"/>
      <c r="I17" s="215" t="s">
        <v>137</v>
      </c>
      <c r="J17" s="215" t="s">
        <v>137</v>
      </c>
      <c r="K17" s="215">
        <v>2023</v>
      </c>
      <c r="L17" s="218">
        <v>98000</v>
      </c>
      <c r="M17" s="222">
        <v>0.3</v>
      </c>
      <c r="N17" s="220">
        <f>O17/(2025-G17)</f>
        <v>16305.828000000003</v>
      </c>
      <c r="O17" s="220">
        <f>L17-P17</f>
        <v>81529.140000000014</v>
      </c>
      <c r="P17" s="220">
        <f>L17*(1-M17)^(2025-G17)</f>
        <v>16470.859999999993</v>
      </c>
      <c r="Q17" s="215"/>
      <c r="R17" s="215"/>
      <c r="S17" s="215" t="s">
        <v>330</v>
      </c>
      <c r="T17" s="215" t="s">
        <v>139</v>
      </c>
      <c r="U17" s="215" t="s">
        <v>194</v>
      </c>
    </row>
    <row r="18" spans="1:21" ht="82.8">
      <c r="A18" s="214"/>
      <c r="B18" s="215" t="s">
        <v>287</v>
      </c>
      <c r="C18" s="215" t="s">
        <v>131</v>
      </c>
      <c r="D18" s="216" t="s">
        <v>328</v>
      </c>
      <c r="E18" s="217" t="s">
        <v>314</v>
      </c>
      <c r="F18" s="215" t="s">
        <v>290</v>
      </c>
      <c r="G18" s="187">
        <v>2020</v>
      </c>
      <c r="H18" s="215"/>
      <c r="I18" s="215" t="s">
        <v>137</v>
      </c>
      <c r="J18" s="215" t="s">
        <v>137</v>
      </c>
      <c r="K18" s="215">
        <v>2023</v>
      </c>
      <c r="L18" s="218">
        <v>98000</v>
      </c>
      <c r="M18" s="222">
        <v>0.3</v>
      </c>
      <c r="N18" s="220">
        <f>O18/(2025-G18)</f>
        <v>16305.828000000003</v>
      </c>
      <c r="O18" s="220">
        <f>L18-P18</f>
        <v>81529.140000000014</v>
      </c>
      <c r="P18" s="220">
        <f>L18*(1-M18)^(2025-G18)</f>
        <v>16470.859999999993</v>
      </c>
      <c r="Q18" s="215"/>
      <c r="R18" s="215"/>
      <c r="S18" s="215" t="s">
        <v>330</v>
      </c>
      <c r="T18" s="215" t="s">
        <v>139</v>
      </c>
      <c r="U18" s="215" t="s">
        <v>194</v>
      </c>
    </row>
    <row r="19" spans="1:21" ht="82.8">
      <c r="A19" s="214"/>
      <c r="B19" s="215" t="s">
        <v>287</v>
      </c>
      <c r="C19" s="215" t="s">
        <v>131</v>
      </c>
      <c r="D19" s="216" t="s">
        <v>331</v>
      </c>
      <c r="E19" s="217" t="s">
        <v>332</v>
      </c>
      <c r="F19" s="215" t="s">
        <v>290</v>
      </c>
      <c r="G19" s="187">
        <v>2020</v>
      </c>
      <c r="H19" s="215"/>
      <c r="I19" s="215" t="s">
        <v>137</v>
      </c>
      <c r="J19" s="215" t="s">
        <v>137</v>
      </c>
      <c r="K19" s="215">
        <v>2023</v>
      </c>
      <c r="L19" s="218">
        <v>98000</v>
      </c>
      <c r="M19" s="222">
        <v>0.3</v>
      </c>
      <c r="N19" s="220">
        <f>O19/(2025-G19)</f>
        <v>16305.828000000003</v>
      </c>
      <c r="O19" s="220">
        <f>L19-P19</f>
        <v>81529.140000000014</v>
      </c>
      <c r="P19" s="220">
        <f>L19*(1-M19)^(2025-G19)</f>
        <v>16470.859999999993</v>
      </c>
      <c r="Q19" s="215"/>
      <c r="R19" s="215"/>
      <c r="S19" s="215" t="s">
        <v>333</v>
      </c>
      <c r="T19" s="215" t="s">
        <v>139</v>
      </c>
      <c r="U19" s="215" t="s">
        <v>194</v>
      </c>
    </row>
    <row r="20" spans="1:21" ht="82.8">
      <c r="A20" s="214"/>
      <c r="B20" s="215" t="s">
        <v>287</v>
      </c>
      <c r="C20" s="215" t="s">
        <v>131</v>
      </c>
      <c r="D20" s="216" t="s">
        <v>334</v>
      </c>
      <c r="E20" s="217" t="s">
        <v>335</v>
      </c>
      <c r="F20" s="215" t="s">
        <v>290</v>
      </c>
      <c r="G20" s="187">
        <v>2020</v>
      </c>
      <c r="H20" s="215"/>
      <c r="I20" s="215" t="s">
        <v>137</v>
      </c>
      <c r="J20" s="215" t="s">
        <v>137</v>
      </c>
      <c r="K20" s="215">
        <v>2023</v>
      </c>
      <c r="L20" s="218">
        <v>98000</v>
      </c>
      <c r="M20" s="222">
        <v>0.3</v>
      </c>
      <c r="N20" s="220">
        <f>O20/(2025-G20)</f>
        <v>16305.828000000003</v>
      </c>
      <c r="O20" s="220">
        <f>L20-P20</f>
        <v>81529.140000000014</v>
      </c>
      <c r="P20" s="220">
        <f>L20*(1-M20)^(2025-G20)</f>
        <v>16470.859999999993</v>
      </c>
      <c r="Q20" s="215"/>
      <c r="R20" s="215"/>
      <c r="S20" s="215" t="s">
        <v>336</v>
      </c>
      <c r="T20" s="215" t="s">
        <v>139</v>
      </c>
      <c r="U20" s="215" t="s">
        <v>194</v>
      </c>
    </row>
    <row r="21" spans="1:21" ht="82.8">
      <c r="A21" s="214"/>
      <c r="B21" s="215" t="s">
        <v>287</v>
      </c>
      <c r="C21" s="215" t="s">
        <v>131</v>
      </c>
      <c r="D21" s="216" t="s">
        <v>337</v>
      </c>
      <c r="E21" s="217" t="s">
        <v>1815</v>
      </c>
      <c r="F21" s="215" t="s">
        <v>290</v>
      </c>
      <c r="G21" s="187">
        <v>2020</v>
      </c>
      <c r="H21" s="215"/>
      <c r="I21" s="215" t="s">
        <v>137</v>
      </c>
      <c r="J21" s="215" t="s">
        <v>137</v>
      </c>
      <c r="K21" s="215">
        <v>2023</v>
      </c>
      <c r="L21" s="218">
        <v>98000</v>
      </c>
      <c r="M21" s="222">
        <v>0.3</v>
      </c>
      <c r="N21" s="220">
        <f>O21/(2025-G21)</f>
        <v>16305.828000000003</v>
      </c>
      <c r="O21" s="220">
        <f>L21-P21</f>
        <v>81529.140000000014</v>
      </c>
      <c r="P21" s="220">
        <f>L21*(1-M21)^(2025-G21)</f>
        <v>16470.859999999993</v>
      </c>
      <c r="Q21" s="215"/>
      <c r="R21" s="215"/>
      <c r="S21" s="215" t="s">
        <v>338</v>
      </c>
      <c r="T21" s="215" t="s">
        <v>139</v>
      </c>
      <c r="U21" s="215" t="s">
        <v>194</v>
      </c>
    </row>
    <row r="22" spans="1:21" ht="82.8">
      <c r="A22" s="214"/>
      <c r="B22" s="215" t="s">
        <v>287</v>
      </c>
      <c r="C22" s="215" t="s">
        <v>131</v>
      </c>
      <c r="D22" s="216" t="s">
        <v>1816</v>
      </c>
      <c r="E22" s="217" t="s">
        <v>289</v>
      </c>
      <c r="F22" s="215" t="s">
        <v>290</v>
      </c>
      <c r="G22" s="187">
        <v>2020</v>
      </c>
      <c r="H22" s="215"/>
      <c r="I22" s="215" t="s">
        <v>137</v>
      </c>
      <c r="J22" s="215" t="s">
        <v>137</v>
      </c>
      <c r="K22" s="215">
        <v>2023</v>
      </c>
      <c r="L22" s="218">
        <v>98000</v>
      </c>
      <c r="M22" s="222">
        <v>0.3</v>
      </c>
      <c r="N22" s="220">
        <f>O22/(2025-G22)</f>
        <v>16305.828000000003</v>
      </c>
      <c r="O22" s="220">
        <f>L22-P22</f>
        <v>81529.140000000014</v>
      </c>
      <c r="P22" s="220">
        <f>L22*(1-M22)^(2025-G22)</f>
        <v>16470.859999999993</v>
      </c>
      <c r="Q22" s="215"/>
      <c r="R22" s="215"/>
      <c r="S22" s="215" t="s">
        <v>794</v>
      </c>
      <c r="T22" s="215" t="s">
        <v>139</v>
      </c>
      <c r="U22" s="215" t="s">
        <v>194</v>
      </c>
    </row>
    <row r="23" spans="1:21" ht="82.8">
      <c r="A23" s="214"/>
      <c r="B23" s="215" t="s">
        <v>287</v>
      </c>
      <c r="C23" s="215" t="s">
        <v>131</v>
      </c>
      <c r="D23" s="216" t="s">
        <v>339</v>
      </c>
      <c r="E23" s="217" t="s">
        <v>323</v>
      </c>
      <c r="F23" s="215" t="s">
        <v>290</v>
      </c>
      <c r="G23" s="187">
        <v>2020</v>
      </c>
      <c r="H23" s="215"/>
      <c r="I23" s="215" t="s">
        <v>137</v>
      </c>
      <c r="J23" s="215" t="s">
        <v>137</v>
      </c>
      <c r="K23" s="215">
        <v>2023</v>
      </c>
      <c r="L23" s="218">
        <v>98000</v>
      </c>
      <c r="M23" s="222">
        <v>0.3</v>
      </c>
      <c r="N23" s="220">
        <f>O23/(2025-G23)</f>
        <v>16305.828000000003</v>
      </c>
      <c r="O23" s="220">
        <f>L23-P23</f>
        <v>81529.140000000014</v>
      </c>
      <c r="P23" s="220">
        <f>L23*(1-M23)^(2025-G23)</f>
        <v>16470.859999999993</v>
      </c>
      <c r="Q23" s="215"/>
      <c r="R23" s="215"/>
      <c r="S23" s="215" t="s">
        <v>340</v>
      </c>
      <c r="T23" s="215" t="s">
        <v>139</v>
      </c>
      <c r="U23" s="215" t="s">
        <v>194</v>
      </c>
    </row>
    <row r="24" spans="1:21" ht="82.8">
      <c r="A24" s="214"/>
      <c r="B24" s="215" t="s">
        <v>287</v>
      </c>
      <c r="C24" s="215" t="s">
        <v>131</v>
      </c>
      <c r="D24" s="216" t="s">
        <v>341</v>
      </c>
      <c r="E24" s="217" t="s">
        <v>342</v>
      </c>
      <c r="F24" s="215" t="s">
        <v>290</v>
      </c>
      <c r="G24" s="187">
        <v>2020</v>
      </c>
      <c r="H24" s="215"/>
      <c r="I24" s="215" t="s">
        <v>137</v>
      </c>
      <c r="J24" s="215" t="s">
        <v>137</v>
      </c>
      <c r="K24" s="215">
        <v>2023</v>
      </c>
      <c r="L24" s="218">
        <v>98000</v>
      </c>
      <c r="M24" s="222">
        <v>0.3</v>
      </c>
      <c r="N24" s="220">
        <f>O24/(2025-G24)</f>
        <v>16305.828000000003</v>
      </c>
      <c r="O24" s="220">
        <f>L24-P24</f>
        <v>81529.140000000014</v>
      </c>
      <c r="P24" s="220">
        <f>L24*(1-M24)^(2025-G24)</f>
        <v>16470.859999999993</v>
      </c>
      <c r="Q24" s="215"/>
      <c r="R24" s="215"/>
      <c r="S24" s="215" t="s">
        <v>343</v>
      </c>
      <c r="T24" s="215" t="s">
        <v>139</v>
      </c>
      <c r="U24" s="215" t="s">
        <v>194</v>
      </c>
    </row>
    <row r="25" spans="1:21" ht="82.8">
      <c r="A25" s="214"/>
      <c r="B25" s="215" t="s">
        <v>287</v>
      </c>
      <c r="C25" s="215" t="s">
        <v>131</v>
      </c>
      <c r="D25" s="216" t="s">
        <v>344</v>
      </c>
      <c r="E25" s="217" t="s">
        <v>345</v>
      </c>
      <c r="F25" s="215" t="s">
        <v>290</v>
      </c>
      <c r="G25" s="187">
        <v>2020</v>
      </c>
      <c r="H25" s="215"/>
      <c r="I25" s="215" t="s">
        <v>137</v>
      </c>
      <c r="J25" s="215" t="s">
        <v>137</v>
      </c>
      <c r="K25" s="215">
        <v>2023</v>
      </c>
      <c r="L25" s="218">
        <v>98000</v>
      </c>
      <c r="M25" s="222">
        <v>0.3</v>
      </c>
      <c r="N25" s="220">
        <f>O25/(2025-G25)</f>
        <v>16305.828000000003</v>
      </c>
      <c r="O25" s="220">
        <f>L25-P25</f>
        <v>81529.140000000014</v>
      </c>
      <c r="P25" s="220">
        <f>L25*(1-M25)^(2025-G25)</f>
        <v>16470.859999999993</v>
      </c>
      <c r="Q25" s="215"/>
      <c r="R25" s="215"/>
      <c r="S25" s="215" t="s">
        <v>346</v>
      </c>
      <c r="T25" s="215" t="s">
        <v>139</v>
      </c>
      <c r="U25" s="215" t="s">
        <v>194</v>
      </c>
    </row>
    <row r="26" spans="1:21" ht="82.8">
      <c r="A26" s="214"/>
      <c r="B26" s="215" t="s">
        <v>287</v>
      </c>
      <c r="C26" s="215" t="s">
        <v>131</v>
      </c>
      <c r="D26" s="216" t="s">
        <v>347</v>
      </c>
      <c r="E26" s="217" t="s">
        <v>348</v>
      </c>
      <c r="F26" s="215" t="s">
        <v>290</v>
      </c>
      <c r="G26" s="187">
        <v>2020</v>
      </c>
      <c r="H26" s="215"/>
      <c r="I26" s="215" t="s">
        <v>137</v>
      </c>
      <c r="J26" s="215" t="s">
        <v>137</v>
      </c>
      <c r="K26" s="215">
        <v>2023</v>
      </c>
      <c r="L26" s="218">
        <v>98000</v>
      </c>
      <c r="M26" s="222">
        <v>0.3</v>
      </c>
      <c r="N26" s="220">
        <f>O26/(2025-G26)</f>
        <v>16305.828000000003</v>
      </c>
      <c r="O26" s="220">
        <f>L26-P26</f>
        <v>81529.140000000014</v>
      </c>
      <c r="P26" s="220">
        <f>L26*(1-M26)^(2025-G26)</f>
        <v>16470.859999999993</v>
      </c>
      <c r="Q26" s="215"/>
      <c r="R26" s="215"/>
      <c r="S26" s="215" t="s">
        <v>237</v>
      </c>
      <c r="T26" s="215" t="s">
        <v>139</v>
      </c>
      <c r="U26" s="215" t="s">
        <v>194</v>
      </c>
    </row>
    <row r="27" spans="1:21" ht="82.8">
      <c r="A27" s="214"/>
      <c r="B27" s="215" t="s">
        <v>287</v>
      </c>
      <c r="C27" s="215" t="s">
        <v>131</v>
      </c>
      <c r="D27" s="216" t="s">
        <v>349</v>
      </c>
      <c r="E27" s="217" t="s">
        <v>350</v>
      </c>
      <c r="F27" s="215" t="s">
        <v>290</v>
      </c>
      <c r="G27" s="187">
        <v>2020</v>
      </c>
      <c r="H27" s="215"/>
      <c r="I27" s="215" t="s">
        <v>137</v>
      </c>
      <c r="J27" s="215" t="s">
        <v>137</v>
      </c>
      <c r="K27" s="215">
        <v>2023</v>
      </c>
      <c r="L27" s="218">
        <v>98000</v>
      </c>
      <c r="M27" s="222">
        <v>0.3</v>
      </c>
      <c r="N27" s="220">
        <f>O27/(2025-G27)</f>
        <v>16305.828000000003</v>
      </c>
      <c r="O27" s="220">
        <f>L27-P27</f>
        <v>81529.140000000014</v>
      </c>
      <c r="P27" s="220">
        <f>L27*(1-M27)^(2025-G27)</f>
        <v>16470.859999999993</v>
      </c>
      <c r="Q27" s="215"/>
      <c r="R27" s="215"/>
      <c r="S27" s="215" t="s">
        <v>351</v>
      </c>
      <c r="T27" s="215" t="s">
        <v>139</v>
      </c>
      <c r="U27" s="215" t="s">
        <v>194</v>
      </c>
    </row>
    <row r="28" spans="1:21" ht="82.8">
      <c r="A28" s="214"/>
      <c r="B28" s="215" t="s">
        <v>287</v>
      </c>
      <c r="C28" s="215" t="s">
        <v>131</v>
      </c>
      <c r="D28" s="216" t="s">
        <v>352</v>
      </c>
      <c r="E28" s="217" t="s">
        <v>353</v>
      </c>
      <c r="F28" s="215" t="s">
        <v>290</v>
      </c>
      <c r="G28" s="187">
        <v>2020</v>
      </c>
      <c r="H28" s="215"/>
      <c r="I28" s="215" t="s">
        <v>137</v>
      </c>
      <c r="J28" s="215" t="s">
        <v>137</v>
      </c>
      <c r="K28" s="215">
        <v>2023</v>
      </c>
      <c r="L28" s="218">
        <v>98000</v>
      </c>
      <c r="M28" s="222">
        <v>0.3</v>
      </c>
      <c r="N28" s="220">
        <f>O28/(2025-G28)</f>
        <v>16305.828000000003</v>
      </c>
      <c r="O28" s="220">
        <f>L28-P28</f>
        <v>81529.140000000014</v>
      </c>
      <c r="P28" s="220">
        <f>L28*(1-M28)^(2025-G28)</f>
        <v>16470.859999999993</v>
      </c>
      <c r="Q28" s="215"/>
      <c r="R28" s="215"/>
      <c r="S28" s="215" t="s">
        <v>198</v>
      </c>
      <c r="T28" s="215" t="s">
        <v>139</v>
      </c>
      <c r="U28" s="215" t="s">
        <v>194</v>
      </c>
    </row>
    <row r="29" spans="1:21" ht="82.8">
      <c r="A29" s="214"/>
      <c r="B29" s="215" t="s">
        <v>287</v>
      </c>
      <c r="C29" s="215" t="s">
        <v>131</v>
      </c>
      <c r="D29" s="216" t="s">
        <v>354</v>
      </c>
      <c r="E29" s="217" t="s">
        <v>355</v>
      </c>
      <c r="F29" s="215" t="s">
        <v>290</v>
      </c>
      <c r="G29" s="187">
        <v>2020</v>
      </c>
      <c r="H29" s="215"/>
      <c r="I29" s="215" t="s">
        <v>137</v>
      </c>
      <c r="J29" s="215" t="s">
        <v>137</v>
      </c>
      <c r="K29" s="215">
        <v>2023</v>
      </c>
      <c r="L29" s="218">
        <v>98000</v>
      </c>
      <c r="M29" s="222">
        <v>0.3</v>
      </c>
      <c r="N29" s="220">
        <f>O29/(2025-G29)</f>
        <v>16305.828000000003</v>
      </c>
      <c r="O29" s="220">
        <f>L29-P29</f>
        <v>81529.140000000014</v>
      </c>
      <c r="P29" s="220">
        <f>L29*(1-M29)^(2025-G29)</f>
        <v>16470.859999999993</v>
      </c>
      <c r="Q29" s="215"/>
      <c r="R29" s="215"/>
      <c r="S29" s="215" t="s">
        <v>356</v>
      </c>
      <c r="T29" s="215" t="s">
        <v>139</v>
      </c>
      <c r="U29" s="215" t="s">
        <v>194</v>
      </c>
    </row>
    <row r="30" spans="1:21" ht="82.8">
      <c r="A30" s="214"/>
      <c r="B30" s="215" t="s">
        <v>287</v>
      </c>
      <c r="C30" s="215" t="s">
        <v>131</v>
      </c>
      <c r="D30" s="216" t="s">
        <v>357</v>
      </c>
      <c r="E30" s="217" t="s">
        <v>358</v>
      </c>
      <c r="F30" s="215" t="s">
        <v>290</v>
      </c>
      <c r="G30" s="187">
        <v>2020</v>
      </c>
      <c r="H30" s="215"/>
      <c r="I30" s="215" t="s">
        <v>137</v>
      </c>
      <c r="J30" s="215" t="s">
        <v>359</v>
      </c>
      <c r="K30" s="215">
        <v>2023</v>
      </c>
      <c r="L30" s="218">
        <v>98000</v>
      </c>
      <c r="M30" s="222">
        <v>0.3</v>
      </c>
      <c r="N30" s="220">
        <f>O30/(2025-G30)</f>
        <v>16305.828000000003</v>
      </c>
      <c r="O30" s="220">
        <f>L30-P30</f>
        <v>81529.140000000014</v>
      </c>
      <c r="P30" s="220">
        <f>L30*(1-M30)^(2025-G30)</f>
        <v>16470.859999999993</v>
      </c>
      <c r="Q30" s="215"/>
      <c r="R30" s="215"/>
      <c r="S30" s="215" t="s">
        <v>360</v>
      </c>
      <c r="T30" s="215" t="s">
        <v>139</v>
      </c>
      <c r="U30" s="215" t="s">
        <v>194</v>
      </c>
    </row>
    <row r="31" spans="1:21" ht="82.8">
      <c r="A31" s="214"/>
      <c r="B31" s="215" t="s">
        <v>287</v>
      </c>
      <c r="C31" s="215" t="s">
        <v>131</v>
      </c>
      <c r="D31" s="216" t="s">
        <v>361</v>
      </c>
      <c r="E31" s="217" t="s">
        <v>362</v>
      </c>
      <c r="F31" s="215" t="s">
        <v>290</v>
      </c>
      <c r="G31" s="187">
        <v>2020</v>
      </c>
      <c r="H31" s="215"/>
      <c r="I31" s="215" t="s">
        <v>137</v>
      </c>
      <c r="J31" s="215" t="s">
        <v>189</v>
      </c>
      <c r="K31" s="215">
        <v>2023</v>
      </c>
      <c r="L31" s="218">
        <v>98000</v>
      </c>
      <c r="M31" s="222">
        <v>0.3</v>
      </c>
      <c r="N31" s="220">
        <f>O31/(2025-G31)</f>
        <v>16305.828000000003</v>
      </c>
      <c r="O31" s="220">
        <f>L31-P31</f>
        <v>81529.140000000014</v>
      </c>
      <c r="P31" s="220">
        <f>L31*(1-M31)^(2025-G31)</f>
        <v>16470.859999999993</v>
      </c>
      <c r="Q31" s="215"/>
      <c r="R31" s="215"/>
      <c r="S31" s="215" t="s">
        <v>1817</v>
      </c>
      <c r="T31" s="215" t="s">
        <v>139</v>
      </c>
      <c r="U31" s="215" t="s">
        <v>194</v>
      </c>
    </row>
    <row r="32" spans="1:21" ht="82.8">
      <c r="A32" s="214"/>
      <c r="B32" s="215" t="s">
        <v>287</v>
      </c>
      <c r="C32" s="215" t="s">
        <v>131</v>
      </c>
      <c r="D32" s="216" t="s">
        <v>364</v>
      </c>
      <c r="E32" s="217" t="s">
        <v>365</v>
      </c>
      <c r="F32" s="215" t="s">
        <v>290</v>
      </c>
      <c r="G32" s="187">
        <v>2020</v>
      </c>
      <c r="H32" s="215"/>
      <c r="I32" s="215" t="s">
        <v>137</v>
      </c>
      <c r="J32" s="215" t="s">
        <v>202</v>
      </c>
      <c r="K32" s="215">
        <v>2023</v>
      </c>
      <c r="L32" s="218">
        <v>98000</v>
      </c>
      <c r="M32" s="222">
        <v>0.3</v>
      </c>
      <c r="N32" s="220">
        <f>O32/(2025-G32)</f>
        <v>16305.828000000003</v>
      </c>
      <c r="O32" s="220">
        <f>L32-P32</f>
        <v>81529.140000000014</v>
      </c>
      <c r="P32" s="220">
        <f>L32*(1-M32)^(2025-G32)</f>
        <v>16470.859999999993</v>
      </c>
      <c r="Q32" s="215"/>
      <c r="R32" s="215"/>
      <c r="S32" s="215" t="s">
        <v>366</v>
      </c>
      <c r="T32" s="215" t="s">
        <v>139</v>
      </c>
      <c r="U32" s="215" t="s">
        <v>194</v>
      </c>
    </row>
    <row r="33" spans="1:21" ht="82.8">
      <c r="A33" s="214"/>
      <c r="B33" s="215" t="s">
        <v>287</v>
      </c>
      <c r="C33" s="215" t="s">
        <v>131</v>
      </c>
      <c r="D33" s="216" t="s">
        <v>367</v>
      </c>
      <c r="E33" s="217" t="s">
        <v>368</v>
      </c>
      <c r="F33" s="215" t="s">
        <v>290</v>
      </c>
      <c r="G33" s="187">
        <v>2020</v>
      </c>
      <c r="H33" s="215"/>
      <c r="I33" s="215" t="s">
        <v>137</v>
      </c>
      <c r="J33" s="215" t="s">
        <v>202</v>
      </c>
      <c r="K33" s="215">
        <v>2023</v>
      </c>
      <c r="L33" s="218">
        <v>98000</v>
      </c>
      <c r="M33" s="222">
        <v>0.3</v>
      </c>
      <c r="N33" s="220">
        <f>O33/(2025-G33)</f>
        <v>16305.828000000003</v>
      </c>
      <c r="O33" s="220">
        <f>L33-P33</f>
        <v>81529.140000000014</v>
      </c>
      <c r="P33" s="220">
        <f>L33*(1-M33)^(2025-G33)</f>
        <v>16470.859999999993</v>
      </c>
      <c r="Q33" s="215"/>
      <c r="R33" s="215"/>
      <c r="S33" s="215" t="s">
        <v>1818</v>
      </c>
      <c r="T33" s="215" t="s">
        <v>139</v>
      </c>
      <c r="U33" s="215" t="s">
        <v>194</v>
      </c>
    </row>
    <row r="34" spans="1:21" ht="82.8">
      <c r="A34" s="214"/>
      <c r="B34" s="215" t="s">
        <v>287</v>
      </c>
      <c r="C34" s="215" t="s">
        <v>131</v>
      </c>
      <c r="D34" s="216" t="s">
        <v>370</v>
      </c>
      <c r="E34" s="217" t="s">
        <v>371</v>
      </c>
      <c r="F34" s="215" t="s">
        <v>290</v>
      </c>
      <c r="G34" s="187">
        <v>2020</v>
      </c>
      <c r="H34" s="215"/>
      <c r="I34" s="215" t="s">
        <v>137</v>
      </c>
      <c r="J34" s="215" t="s">
        <v>208</v>
      </c>
      <c r="K34" s="215">
        <v>2023</v>
      </c>
      <c r="L34" s="218">
        <v>98000</v>
      </c>
      <c r="M34" s="222">
        <v>0.3</v>
      </c>
      <c r="N34" s="220">
        <f>O34/(2025-G34)</f>
        <v>16305.828000000003</v>
      </c>
      <c r="O34" s="220">
        <f>L34-P34</f>
        <v>81529.140000000014</v>
      </c>
      <c r="P34" s="220">
        <f>L34*(1-M34)^(2025-G34)</f>
        <v>16470.859999999993</v>
      </c>
      <c r="Q34" s="215"/>
      <c r="R34" s="215"/>
      <c r="S34" s="215" t="s">
        <v>372</v>
      </c>
      <c r="T34" s="215" t="s">
        <v>139</v>
      </c>
      <c r="U34" s="215" t="s">
        <v>194</v>
      </c>
    </row>
    <row r="35" spans="1:21" ht="82.8">
      <c r="A35" s="214"/>
      <c r="B35" s="215" t="s">
        <v>287</v>
      </c>
      <c r="C35" s="215" t="s">
        <v>131</v>
      </c>
      <c r="D35" s="216" t="s">
        <v>373</v>
      </c>
      <c r="E35" s="217" t="s">
        <v>374</v>
      </c>
      <c r="F35" s="215" t="s">
        <v>290</v>
      </c>
      <c r="G35" s="187">
        <v>2020</v>
      </c>
      <c r="H35" s="215"/>
      <c r="I35" s="215" t="s">
        <v>137</v>
      </c>
      <c r="J35" s="215" t="s">
        <v>208</v>
      </c>
      <c r="K35" s="215">
        <v>2023</v>
      </c>
      <c r="L35" s="218">
        <v>98000</v>
      </c>
      <c r="M35" s="222">
        <v>0.3</v>
      </c>
      <c r="N35" s="220">
        <f>O35/(2025-G35)</f>
        <v>16305.828000000003</v>
      </c>
      <c r="O35" s="220">
        <f>L35-P35</f>
        <v>81529.140000000014</v>
      </c>
      <c r="P35" s="220">
        <f>L35*(1-M35)^(2025-G35)</f>
        <v>16470.859999999993</v>
      </c>
      <c r="Q35" s="215"/>
      <c r="R35" s="215"/>
      <c r="S35" s="215" t="s">
        <v>375</v>
      </c>
      <c r="T35" s="215" t="s">
        <v>139</v>
      </c>
      <c r="U35" s="215" t="s">
        <v>194</v>
      </c>
    </row>
    <row r="36" spans="1:21" ht="82.8">
      <c r="A36" s="214"/>
      <c r="B36" s="215" t="s">
        <v>287</v>
      </c>
      <c r="C36" s="215" t="s">
        <v>131</v>
      </c>
      <c r="D36" s="216" t="s">
        <v>376</v>
      </c>
      <c r="E36" s="217" t="s">
        <v>377</v>
      </c>
      <c r="F36" s="215" t="s">
        <v>290</v>
      </c>
      <c r="G36" s="187">
        <v>2020</v>
      </c>
      <c r="H36" s="215"/>
      <c r="I36" s="215" t="s">
        <v>137</v>
      </c>
      <c r="J36" s="215" t="s">
        <v>378</v>
      </c>
      <c r="K36" s="215">
        <v>2023</v>
      </c>
      <c r="L36" s="218">
        <v>98000</v>
      </c>
      <c r="M36" s="222">
        <v>0.3</v>
      </c>
      <c r="N36" s="220">
        <f>O36/(2025-G36)</f>
        <v>16305.828000000003</v>
      </c>
      <c r="O36" s="220">
        <f>L36-P36</f>
        <v>81529.140000000014</v>
      </c>
      <c r="P36" s="220">
        <f>L36*(1-M36)^(2025-G36)</f>
        <v>16470.859999999993</v>
      </c>
      <c r="Q36" s="215"/>
      <c r="R36" s="215"/>
      <c r="S36" s="215" t="s">
        <v>251</v>
      </c>
      <c r="T36" s="215" t="s">
        <v>139</v>
      </c>
      <c r="U36" s="215" t="s">
        <v>194</v>
      </c>
    </row>
    <row r="37" spans="1:21" ht="82.8">
      <c r="A37" s="214"/>
      <c r="B37" s="215" t="s">
        <v>287</v>
      </c>
      <c r="C37" s="215" t="s">
        <v>131</v>
      </c>
      <c r="D37" s="216" t="s">
        <v>379</v>
      </c>
      <c r="E37" s="217" t="s">
        <v>380</v>
      </c>
      <c r="F37" s="215" t="s">
        <v>290</v>
      </c>
      <c r="G37" s="187">
        <v>2020</v>
      </c>
      <c r="H37" s="215"/>
      <c r="I37" s="215" t="s">
        <v>137</v>
      </c>
      <c r="J37" s="215" t="s">
        <v>137</v>
      </c>
      <c r="K37" s="215">
        <v>2023</v>
      </c>
      <c r="L37" s="218">
        <v>98000</v>
      </c>
      <c r="M37" s="222">
        <v>0.3</v>
      </c>
      <c r="N37" s="220">
        <f>O37/(2025-G37)</f>
        <v>16305.828000000003</v>
      </c>
      <c r="O37" s="220">
        <f>L37-P37</f>
        <v>81529.140000000014</v>
      </c>
      <c r="P37" s="220">
        <f>L37*(1-M37)^(2025-G37)</f>
        <v>16470.859999999993</v>
      </c>
      <c r="Q37" s="215"/>
      <c r="R37" s="215"/>
      <c r="S37" s="215" t="s">
        <v>381</v>
      </c>
      <c r="T37" s="215" t="s">
        <v>139</v>
      </c>
      <c r="U37" s="215" t="s">
        <v>194</v>
      </c>
    </row>
    <row r="38" spans="1:21" ht="82.8">
      <c r="A38" s="214"/>
      <c r="B38" s="215" t="s">
        <v>287</v>
      </c>
      <c r="C38" s="215" t="s">
        <v>131</v>
      </c>
      <c r="D38" s="216" t="s">
        <v>382</v>
      </c>
      <c r="E38" s="217" t="s">
        <v>383</v>
      </c>
      <c r="F38" s="215" t="s">
        <v>290</v>
      </c>
      <c r="G38" s="187">
        <v>2020</v>
      </c>
      <c r="H38" s="215"/>
      <c r="I38" s="215" t="s">
        <v>137</v>
      </c>
      <c r="J38" s="215" t="s">
        <v>137</v>
      </c>
      <c r="K38" s="215">
        <v>2023</v>
      </c>
      <c r="L38" s="218">
        <v>98000</v>
      </c>
      <c r="M38" s="222">
        <v>0.3</v>
      </c>
      <c r="N38" s="220">
        <f>O38/(2025-G38)</f>
        <v>16305.828000000003</v>
      </c>
      <c r="O38" s="220">
        <f>L38-P38</f>
        <v>81529.140000000014</v>
      </c>
      <c r="P38" s="220">
        <f>L38*(1-M38)^(2025-G38)</f>
        <v>16470.859999999993</v>
      </c>
      <c r="Q38" s="215"/>
      <c r="R38" s="215"/>
      <c r="S38" s="215" t="s">
        <v>445</v>
      </c>
      <c r="T38" s="215" t="s">
        <v>139</v>
      </c>
      <c r="U38" s="215" t="s">
        <v>194</v>
      </c>
    </row>
    <row r="39" spans="1:21" ht="82.8">
      <c r="A39" s="223"/>
      <c r="B39" s="215" t="s">
        <v>287</v>
      </c>
      <c r="C39" s="215" t="s">
        <v>131</v>
      </c>
      <c r="D39" s="216" t="s">
        <v>384</v>
      </c>
      <c r="E39" s="217" t="s">
        <v>358</v>
      </c>
      <c r="F39" s="215" t="s">
        <v>385</v>
      </c>
      <c r="G39" s="187">
        <v>2008</v>
      </c>
      <c r="H39" s="215"/>
      <c r="I39" s="215" t="s">
        <v>137</v>
      </c>
      <c r="J39" s="215" t="s">
        <v>137</v>
      </c>
      <c r="K39" s="215">
        <v>2011</v>
      </c>
      <c r="L39" s="218">
        <v>98000</v>
      </c>
      <c r="M39" s="222">
        <v>0.3</v>
      </c>
      <c r="N39" s="220">
        <f>O39/(2025-G39)</f>
        <v>5751.2954174289725</v>
      </c>
      <c r="O39" s="220">
        <f>L39-P39</f>
        <v>97772.022096292538</v>
      </c>
      <c r="P39" s="220">
        <f>L39*(1-M39)^(2025-G39)</f>
        <v>227.97790370746256</v>
      </c>
      <c r="Q39" s="215"/>
      <c r="R39" s="215"/>
      <c r="S39" s="215" t="s">
        <v>386</v>
      </c>
      <c r="T39" s="215" t="s">
        <v>139</v>
      </c>
      <c r="U39" s="215" t="s">
        <v>194</v>
      </c>
    </row>
    <row r="40" spans="1:21" ht="82.8">
      <c r="A40" s="223"/>
      <c r="B40" s="215" t="s">
        <v>287</v>
      </c>
      <c r="C40" s="215" t="s">
        <v>131</v>
      </c>
      <c r="D40" s="216" t="s">
        <v>387</v>
      </c>
      <c r="E40" s="217" t="s">
        <v>388</v>
      </c>
      <c r="F40" s="215" t="s">
        <v>385</v>
      </c>
      <c r="G40" s="187">
        <v>2008</v>
      </c>
      <c r="H40" s="215"/>
      <c r="I40" s="215" t="s">
        <v>137</v>
      </c>
      <c r="J40" s="215" t="s">
        <v>137</v>
      </c>
      <c r="K40" s="215">
        <v>2011</v>
      </c>
      <c r="L40" s="218">
        <v>98000</v>
      </c>
      <c r="M40" s="222">
        <v>0.3</v>
      </c>
      <c r="N40" s="220">
        <f>O40/(2025-G40)</f>
        <v>5751.2954174289725</v>
      </c>
      <c r="O40" s="220">
        <f>L40-P40</f>
        <v>97772.022096292538</v>
      </c>
      <c r="P40" s="220">
        <f>L40*(1-M40)^(2025-G40)</f>
        <v>227.97790370746256</v>
      </c>
      <c r="Q40" s="215"/>
      <c r="R40" s="215"/>
      <c r="S40" s="215" t="s">
        <v>389</v>
      </c>
      <c r="T40" s="215" t="s">
        <v>139</v>
      </c>
      <c r="U40" s="215" t="s">
        <v>194</v>
      </c>
    </row>
    <row r="41" spans="1:21" ht="41.4">
      <c r="A41" s="223"/>
      <c r="B41" s="215" t="s">
        <v>287</v>
      </c>
      <c r="C41" s="215" t="s">
        <v>131</v>
      </c>
      <c r="D41" s="216"/>
      <c r="E41" s="217" t="s">
        <v>390</v>
      </c>
      <c r="F41" s="215" t="s">
        <v>391</v>
      </c>
      <c r="G41" s="187">
        <v>2020</v>
      </c>
      <c r="H41" s="215"/>
      <c r="I41" s="215" t="s">
        <v>137</v>
      </c>
      <c r="J41" s="215" t="s">
        <v>137</v>
      </c>
      <c r="K41" s="215">
        <v>2023</v>
      </c>
      <c r="L41" s="218">
        <v>670000</v>
      </c>
      <c r="M41" s="222">
        <v>0.3</v>
      </c>
      <c r="N41" s="220">
        <f>O41/(2025-G41)</f>
        <v>111478.62000000002</v>
      </c>
      <c r="O41" s="220">
        <f>L41-P41</f>
        <v>557393.10000000009</v>
      </c>
      <c r="P41" s="220">
        <f>L41*(1-M41)^(2025-G41)</f>
        <v>112606.89999999997</v>
      </c>
      <c r="Q41" s="215"/>
      <c r="R41" s="215"/>
      <c r="S41" s="215" t="s">
        <v>392</v>
      </c>
      <c r="T41" s="215" t="s">
        <v>139</v>
      </c>
      <c r="U41" s="215" t="s">
        <v>194</v>
      </c>
    </row>
    <row r="42" spans="1:21" ht="82.8">
      <c r="A42" s="223"/>
      <c r="B42" s="215" t="s">
        <v>287</v>
      </c>
      <c r="C42" s="215" t="s">
        <v>131</v>
      </c>
      <c r="D42" s="216" t="s">
        <v>1819</v>
      </c>
      <c r="E42" s="217" t="s">
        <v>1820</v>
      </c>
      <c r="F42" s="215" t="s">
        <v>385</v>
      </c>
      <c r="G42" s="187">
        <v>2015</v>
      </c>
      <c r="H42" s="215"/>
      <c r="I42" s="215" t="s">
        <v>137</v>
      </c>
      <c r="J42" s="215" t="s">
        <v>137</v>
      </c>
      <c r="K42" s="215">
        <v>2018</v>
      </c>
      <c r="L42" s="224">
        <v>95042</v>
      </c>
      <c r="M42" s="222">
        <v>0.3</v>
      </c>
      <c r="N42" s="220">
        <f>O42/(2025-G42)</f>
        <v>9235.729873845421</v>
      </c>
      <c r="O42" s="220">
        <f>L42-P42</f>
        <v>92357.298738454207</v>
      </c>
      <c r="P42" s="220">
        <f>L42*(1-M42)^(2025-G42)</f>
        <v>2684.7012615457979</v>
      </c>
      <c r="Q42" s="215"/>
      <c r="R42" s="215"/>
      <c r="S42" s="215" t="s">
        <v>199</v>
      </c>
      <c r="T42" s="215" t="s">
        <v>139</v>
      </c>
      <c r="U42" s="215" t="s">
        <v>194</v>
      </c>
    </row>
    <row r="43" spans="1:21" ht="82.8">
      <c r="A43" s="223"/>
      <c r="B43" s="215" t="s">
        <v>287</v>
      </c>
      <c r="C43" s="215" t="s">
        <v>131</v>
      </c>
      <c r="D43" s="216" t="s">
        <v>393</v>
      </c>
      <c r="E43" s="217" t="s">
        <v>394</v>
      </c>
      <c r="F43" s="215" t="s">
        <v>395</v>
      </c>
      <c r="G43" s="187">
        <v>2015</v>
      </c>
      <c r="H43" s="215"/>
      <c r="I43" s="215" t="s">
        <v>137</v>
      </c>
      <c r="J43" s="215" t="s">
        <v>137</v>
      </c>
      <c r="K43" s="215">
        <v>2018</v>
      </c>
      <c r="L43" s="224">
        <v>95042</v>
      </c>
      <c r="M43" s="222">
        <v>0.3</v>
      </c>
      <c r="N43" s="220">
        <f>O43/(2025-G43)</f>
        <v>9235.729873845421</v>
      </c>
      <c r="O43" s="220">
        <f>L43-P43</f>
        <v>92357.298738454207</v>
      </c>
      <c r="P43" s="220">
        <f>L43*(1-M43)^(2025-G43)</f>
        <v>2684.7012615457979</v>
      </c>
      <c r="Q43" s="215"/>
      <c r="R43" s="215"/>
      <c r="S43" s="215" t="s">
        <v>396</v>
      </c>
      <c r="T43" s="215" t="s">
        <v>139</v>
      </c>
      <c r="U43" s="215" t="s">
        <v>194</v>
      </c>
    </row>
    <row r="44" spans="1:21" ht="82.8">
      <c r="A44" s="223"/>
      <c r="B44" s="215" t="s">
        <v>287</v>
      </c>
      <c r="C44" s="215" t="s">
        <v>131</v>
      </c>
      <c r="D44" s="216" t="s">
        <v>397</v>
      </c>
      <c r="E44" s="217" t="s">
        <v>398</v>
      </c>
      <c r="F44" s="215" t="s">
        <v>395</v>
      </c>
      <c r="G44" s="187">
        <v>2015</v>
      </c>
      <c r="H44" s="215"/>
      <c r="I44" s="215" t="s">
        <v>137</v>
      </c>
      <c r="J44" s="215" t="s">
        <v>137</v>
      </c>
      <c r="K44" s="215">
        <v>2018</v>
      </c>
      <c r="L44" s="224">
        <v>95042</v>
      </c>
      <c r="M44" s="222">
        <v>0.3</v>
      </c>
      <c r="N44" s="220">
        <f>O44/(2025-G44)</f>
        <v>9235.729873845421</v>
      </c>
      <c r="O44" s="220">
        <f>L44-P44</f>
        <v>92357.298738454207</v>
      </c>
      <c r="P44" s="220">
        <f>L44*(1-M44)^(2025-G44)</f>
        <v>2684.7012615457979</v>
      </c>
      <c r="Q44" s="215"/>
      <c r="R44" s="215"/>
      <c r="S44" s="215" t="s">
        <v>975</v>
      </c>
      <c r="T44" s="215" t="s">
        <v>139</v>
      </c>
      <c r="U44" s="215" t="s">
        <v>194</v>
      </c>
    </row>
    <row r="45" spans="1:21" ht="82.8">
      <c r="A45" s="223"/>
      <c r="B45" s="215" t="s">
        <v>287</v>
      </c>
      <c r="C45" s="215" t="s">
        <v>131</v>
      </c>
      <c r="D45" s="216" t="s">
        <v>399</v>
      </c>
      <c r="E45" s="217" t="s">
        <v>400</v>
      </c>
      <c r="F45" s="215" t="s">
        <v>401</v>
      </c>
      <c r="G45" s="187">
        <v>2015</v>
      </c>
      <c r="H45" s="215"/>
      <c r="I45" s="215" t="s">
        <v>137</v>
      </c>
      <c r="J45" s="215" t="s">
        <v>137</v>
      </c>
      <c r="K45" s="215">
        <v>2018</v>
      </c>
      <c r="L45" s="224">
        <v>95042</v>
      </c>
      <c r="M45" s="222">
        <v>0.3</v>
      </c>
      <c r="N45" s="220">
        <f>O45/(2025-G45)</f>
        <v>9235.729873845421</v>
      </c>
      <c r="O45" s="220">
        <f>L45-P45</f>
        <v>92357.298738454207</v>
      </c>
      <c r="P45" s="220">
        <f>L45*(1-M45)^(2025-G45)</f>
        <v>2684.7012615457979</v>
      </c>
      <c r="Q45" s="215"/>
      <c r="R45" s="215"/>
      <c r="S45" s="215" t="s">
        <v>402</v>
      </c>
      <c r="T45" s="215" t="s">
        <v>139</v>
      </c>
      <c r="U45" s="215" t="s">
        <v>194</v>
      </c>
    </row>
    <row r="46" spans="1:21" ht="82.8">
      <c r="A46" s="223"/>
      <c r="B46" s="215" t="s">
        <v>287</v>
      </c>
      <c r="C46" s="215" t="s">
        <v>131</v>
      </c>
      <c r="D46" s="216" t="s">
        <v>403</v>
      </c>
      <c r="E46" s="217" t="s">
        <v>1821</v>
      </c>
      <c r="F46" s="215" t="s">
        <v>404</v>
      </c>
      <c r="G46" s="187">
        <v>2015</v>
      </c>
      <c r="H46" s="215"/>
      <c r="I46" s="215" t="s">
        <v>137</v>
      </c>
      <c r="J46" s="215" t="s">
        <v>137</v>
      </c>
      <c r="K46" s="215">
        <v>2018</v>
      </c>
      <c r="L46" s="224">
        <v>95042</v>
      </c>
      <c r="M46" s="222">
        <v>0.3</v>
      </c>
      <c r="N46" s="220">
        <f>O46/(2025-G46)</f>
        <v>9235.729873845421</v>
      </c>
      <c r="O46" s="220">
        <f>L46-P46</f>
        <v>92357.298738454207</v>
      </c>
      <c r="P46" s="220">
        <f>L46*(1-M46)^(2025-G46)</f>
        <v>2684.7012615457979</v>
      </c>
      <c r="Q46" s="215"/>
      <c r="R46" s="215"/>
      <c r="S46" s="215" t="s">
        <v>1002</v>
      </c>
      <c r="T46" s="215" t="s">
        <v>139</v>
      </c>
      <c r="U46" s="215" t="s">
        <v>194</v>
      </c>
    </row>
    <row r="47" spans="1:21" ht="82.8">
      <c r="A47" s="223"/>
      <c r="B47" s="215" t="s">
        <v>287</v>
      </c>
      <c r="C47" s="215" t="s">
        <v>131</v>
      </c>
      <c r="D47" s="216" t="s">
        <v>1822</v>
      </c>
      <c r="E47" s="217" t="s">
        <v>1823</v>
      </c>
      <c r="F47" s="215" t="s">
        <v>1824</v>
      </c>
      <c r="G47" s="187">
        <v>2015</v>
      </c>
      <c r="H47" s="215"/>
      <c r="I47" s="215" t="s">
        <v>137</v>
      </c>
      <c r="J47" s="215" t="s">
        <v>137</v>
      </c>
      <c r="K47" s="215">
        <v>2018</v>
      </c>
      <c r="L47" s="225">
        <v>79494</v>
      </c>
      <c r="M47" s="222">
        <v>0.3</v>
      </c>
      <c r="N47" s="220">
        <f>O47/(2025-G47)</f>
        <v>7724.8491255599392</v>
      </c>
      <c r="O47" s="220">
        <f>L47-P47</f>
        <v>77248.491255599394</v>
      </c>
      <c r="P47" s="220">
        <f>L47*(1-M47)^(2025-G47)</f>
        <v>2245.5087444005985</v>
      </c>
      <c r="Q47" s="215"/>
      <c r="R47" s="215"/>
      <c r="S47" s="215" t="s">
        <v>363</v>
      </c>
      <c r="T47" s="215" t="s">
        <v>139</v>
      </c>
      <c r="U47" s="215" t="s">
        <v>194</v>
      </c>
    </row>
    <row r="48" spans="1:21" ht="82.8">
      <c r="A48" s="223"/>
      <c r="B48" s="215" t="s">
        <v>287</v>
      </c>
      <c r="C48" s="215" t="s">
        <v>131</v>
      </c>
      <c r="D48" s="216" t="s">
        <v>406</v>
      </c>
      <c r="E48" s="217" t="s">
        <v>1825</v>
      </c>
      <c r="F48" s="215" t="s">
        <v>407</v>
      </c>
      <c r="G48" s="187">
        <v>2015</v>
      </c>
      <c r="H48" s="215"/>
      <c r="I48" s="215" t="s">
        <v>137</v>
      </c>
      <c r="J48" s="215" t="s">
        <v>137</v>
      </c>
      <c r="K48" s="215">
        <v>2018</v>
      </c>
      <c r="L48" s="225">
        <v>79494</v>
      </c>
      <c r="M48" s="222">
        <v>0.3</v>
      </c>
      <c r="N48" s="220">
        <f>O48/(2025-G48)</f>
        <v>7724.8491255599392</v>
      </c>
      <c r="O48" s="220">
        <f>L48-P48</f>
        <v>77248.491255599394</v>
      </c>
      <c r="P48" s="220">
        <f>L48*(1-M48)^(2025-G48)</f>
        <v>2245.5087444005985</v>
      </c>
      <c r="Q48" s="215"/>
      <c r="R48" s="215"/>
      <c r="S48" s="215" t="s">
        <v>239</v>
      </c>
      <c r="T48" s="215" t="s">
        <v>139</v>
      </c>
      <c r="U48" s="215" t="s">
        <v>194</v>
      </c>
    </row>
    <row r="49" spans="1:21" ht="82.8">
      <c r="A49" s="223"/>
      <c r="B49" s="215" t="s">
        <v>287</v>
      </c>
      <c r="C49" s="215" t="s">
        <v>131</v>
      </c>
      <c r="D49" s="216" t="s">
        <v>410</v>
      </c>
      <c r="E49" s="217" t="s">
        <v>411</v>
      </c>
      <c r="F49" s="215" t="s">
        <v>412</v>
      </c>
      <c r="G49" s="187">
        <v>2020</v>
      </c>
      <c r="H49" s="215"/>
      <c r="I49" s="215" t="s">
        <v>137</v>
      </c>
      <c r="J49" s="215" t="s">
        <v>137</v>
      </c>
      <c r="K49" s="215">
        <v>2023</v>
      </c>
      <c r="L49" s="225">
        <v>98000</v>
      </c>
      <c r="M49" s="222">
        <v>0.3</v>
      </c>
      <c r="N49" s="220">
        <f>O49/(2025-G49)</f>
        <v>16305.828000000003</v>
      </c>
      <c r="O49" s="220">
        <f>L49-P49</f>
        <v>81529.140000000014</v>
      </c>
      <c r="P49" s="220">
        <f>L49*(1-M49)^(2025-G49)</f>
        <v>16470.859999999993</v>
      </c>
      <c r="Q49" s="215"/>
      <c r="R49" s="215"/>
      <c r="S49" s="215" t="s">
        <v>413</v>
      </c>
      <c r="T49" s="215" t="s">
        <v>139</v>
      </c>
      <c r="U49" s="215" t="s">
        <v>194</v>
      </c>
    </row>
    <row r="50" spans="1:21" ht="82.8">
      <c r="A50" s="223"/>
      <c r="B50" s="215" t="s">
        <v>287</v>
      </c>
      <c r="C50" s="215" t="s">
        <v>131</v>
      </c>
      <c r="D50" s="216" t="s">
        <v>414</v>
      </c>
      <c r="E50" s="217" t="s">
        <v>415</v>
      </c>
      <c r="F50" s="215" t="s">
        <v>408</v>
      </c>
      <c r="G50" s="187">
        <v>2014</v>
      </c>
      <c r="H50" s="215"/>
      <c r="I50" s="215" t="s">
        <v>137</v>
      </c>
      <c r="J50" s="215" t="s">
        <v>137</v>
      </c>
      <c r="K50" s="215">
        <v>2017</v>
      </c>
      <c r="L50" s="227">
        <v>55680</v>
      </c>
      <c r="M50" s="222">
        <v>0.3</v>
      </c>
      <c r="N50" s="220">
        <f>O50/(2025-G50)</f>
        <v>4961.7294972270547</v>
      </c>
      <c r="O50" s="220">
        <f>L50-P50</f>
        <v>54579.024469497599</v>
      </c>
      <c r="P50" s="220">
        <f>L50*(1-M50)^(2025-G50)</f>
        <v>1100.9755305023991</v>
      </c>
      <c r="Q50" s="215"/>
      <c r="R50" s="215"/>
      <c r="S50" s="215" t="s">
        <v>197</v>
      </c>
      <c r="T50" s="215" t="s">
        <v>139</v>
      </c>
      <c r="U50" s="215" t="s">
        <v>194</v>
      </c>
    </row>
    <row r="51" spans="1:21" ht="82.8">
      <c r="A51" s="223"/>
      <c r="B51" s="215" t="s">
        <v>287</v>
      </c>
      <c r="C51" s="215" t="s">
        <v>131</v>
      </c>
      <c r="D51" s="216" t="s">
        <v>418</v>
      </c>
      <c r="E51" s="217" t="s">
        <v>419</v>
      </c>
      <c r="F51" s="215" t="s">
        <v>408</v>
      </c>
      <c r="G51" s="187">
        <v>2014</v>
      </c>
      <c r="H51" s="215"/>
      <c r="I51" s="215" t="s">
        <v>137</v>
      </c>
      <c r="J51" s="215" t="s">
        <v>137</v>
      </c>
      <c r="K51" s="215">
        <v>2017</v>
      </c>
      <c r="L51" s="227">
        <v>55680</v>
      </c>
      <c r="M51" s="222">
        <v>0.3</v>
      </c>
      <c r="N51" s="220">
        <f>O51/(2025-G51)</f>
        <v>4961.7294972270547</v>
      </c>
      <c r="O51" s="220">
        <f>L51-P51</f>
        <v>54579.024469497599</v>
      </c>
      <c r="P51" s="220">
        <f>L51*(1-M51)^(2025-G51)</f>
        <v>1100.9755305023991</v>
      </c>
      <c r="Q51" s="215"/>
      <c r="R51" s="215"/>
      <c r="S51" s="215" t="s">
        <v>869</v>
      </c>
      <c r="T51" s="215" t="s">
        <v>139</v>
      </c>
      <c r="U51" s="215" t="s">
        <v>194</v>
      </c>
    </row>
    <row r="52" spans="1:21" ht="82.8">
      <c r="A52" s="223"/>
      <c r="B52" s="215" t="s">
        <v>287</v>
      </c>
      <c r="C52" s="215" t="s">
        <v>131</v>
      </c>
      <c r="D52" s="216" t="s">
        <v>421</v>
      </c>
      <c r="E52" s="217" t="s">
        <v>422</v>
      </c>
      <c r="F52" s="215" t="s">
        <v>423</v>
      </c>
      <c r="G52" s="228">
        <v>2020</v>
      </c>
      <c r="H52" s="215"/>
      <c r="I52" s="215" t="s">
        <v>137</v>
      </c>
      <c r="J52" s="215" t="s">
        <v>378</v>
      </c>
      <c r="K52" s="215">
        <v>2023</v>
      </c>
      <c r="L52" s="229">
        <v>107500</v>
      </c>
      <c r="M52" s="222">
        <v>0.3</v>
      </c>
      <c r="N52" s="220">
        <f>O52/(2025-G52)</f>
        <v>17886.495000000003</v>
      </c>
      <c r="O52" s="220">
        <f>L52-P52</f>
        <v>89432.475000000006</v>
      </c>
      <c r="P52" s="220">
        <f>L52*(1-M52)^(2025-G52)</f>
        <v>18067.524999999994</v>
      </c>
      <c r="Q52" s="215"/>
      <c r="R52" s="215"/>
      <c r="S52" s="215" t="s">
        <v>424</v>
      </c>
      <c r="T52" s="215" t="s">
        <v>139</v>
      </c>
      <c r="U52" s="215" t="s">
        <v>194</v>
      </c>
    </row>
    <row r="53" spans="1:21" ht="82.8">
      <c r="A53" s="223"/>
      <c r="B53" s="215" t="s">
        <v>287</v>
      </c>
      <c r="C53" s="215" t="s">
        <v>131</v>
      </c>
      <c r="D53" s="216"/>
      <c r="E53" s="217" t="s">
        <v>1827</v>
      </c>
      <c r="F53" s="215" t="s">
        <v>1826</v>
      </c>
      <c r="G53" s="228">
        <v>2008</v>
      </c>
      <c r="H53" s="215"/>
      <c r="I53" s="215" t="s">
        <v>137</v>
      </c>
      <c r="J53" s="215" t="s">
        <v>137</v>
      </c>
      <c r="K53" s="215">
        <v>2011</v>
      </c>
      <c r="L53" s="225">
        <v>0</v>
      </c>
      <c r="M53" s="222">
        <v>0.3</v>
      </c>
      <c r="N53" s="220">
        <f>O53/(2025-G53)</f>
        <v>0</v>
      </c>
      <c r="O53" s="220">
        <f>L53-P53</f>
        <v>0</v>
      </c>
      <c r="P53" s="220">
        <f>L53*(1-M53)^(2025-G53)</f>
        <v>0</v>
      </c>
      <c r="Q53" s="215"/>
      <c r="R53" s="215"/>
      <c r="S53" s="215" t="s">
        <v>193</v>
      </c>
      <c r="T53" s="215" t="s">
        <v>139</v>
      </c>
      <c r="U53" s="215" t="s">
        <v>194</v>
      </c>
    </row>
    <row r="54" spans="1:21" ht="42">
      <c r="A54" s="214"/>
      <c r="B54" s="230" t="s">
        <v>425</v>
      </c>
      <c r="C54" s="215" t="s">
        <v>131</v>
      </c>
      <c r="D54" s="231" t="s">
        <v>428</v>
      </c>
      <c r="E54" s="217"/>
      <c r="F54" s="232" t="s">
        <v>1879</v>
      </c>
      <c r="G54" s="228">
        <v>2019</v>
      </c>
      <c r="H54" s="215"/>
      <c r="I54" s="215" t="s">
        <v>137</v>
      </c>
      <c r="J54" s="215" t="s">
        <v>137</v>
      </c>
      <c r="K54" s="215">
        <v>2022</v>
      </c>
      <c r="L54" s="227">
        <v>125900</v>
      </c>
      <c r="M54" s="222">
        <v>0.3</v>
      </c>
      <c r="N54" s="220">
        <f>O54/(2025-G54)</f>
        <v>18514.665150000001</v>
      </c>
      <c r="O54" s="220">
        <f>L54-P54</f>
        <v>111087.9909</v>
      </c>
      <c r="P54" s="220">
        <f>L54*(1-M54)^(2025-G54)</f>
        <v>14812.009099999994</v>
      </c>
      <c r="Q54" s="215"/>
      <c r="R54" s="215"/>
      <c r="S54" s="215" t="s">
        <v>250</v>
      </c>
      <c r="T54" s="215" t="s">
        <v>139</v>
      </c>
      <c r="U54" s="215" t="s">
        <v>194</v>
      </c>
    </row>
    <row r="55" spans="1:21" ht="42">
      <c r="A55" s="214"/>
      <c r="B55" s="230" t="s">
        <v>425</v>
      </c>
      <c r="C55" s="215" t="s">
        <v>131</v>
      </c>
      <c r="D55" s="231" t="s">
        <v>429</v>
      </c>
      <c r="E55" s="217"/>
      <c r="F55" s="232" t="s">
        <v>1879</v>
      </c>
      <c r="G55" s="228">
        <v>2020</v>
      </c>
      <c r="H55" s="215"/>
      <c r="I55" s="215" t="s">
        <v>137</v>
      </c>
      <c r="J55" s="215" t="s">
        <v>137</v>
      </c>
      <c r="K55" s="215">
        <v>2023</v>
      </c>
      <c r="L55" s="227">
        <v>125900</v>
      </c>
      <c r="M55" s="222">
        <v>0.3</v>
      </c>
      <c r="N55" s="220">
        <f>O55/(2025-G55)</f>
        <v>20947.9974</v>
      </c>
      <c r="O55" s="220">
        <f>L55-P55</f>
        <v>104739.98700000001</v>
      </c>
      <c r="P55" s="220">
        <f>L55*(1-M55)^(2025-G55)</f>
        <v>21160.012999999992</v>
      </c>
      <c r="Q55" s="215"/>
      <c r="R55" s="215"/>
      <c r="S55" s="230" t="s">
        <v>430</v>
      </c>
      <c r="T55" s="215" t="s">
        <v>139</v>
      </c>
      <c r="U55" s="215" t="s">
        <v>194</v>
      </c>
    </row>
    <row r="56" spans="1:21" ht="28.2">
      <c r="A56" s="214"/>
      <c r="B56" s="230" t="s">
        <v>425</v>
      </c>
      <c r="C56" s="215" t="s">
        <v>131</v>
      </c>
      <c r="D56" s="231" t="s">
        <v>431</v>
      </c>
      <c r="E56" s="217"/>
      <c r="F56" s="232" t="s">
        <v>1879</v>
      </c>
      <c r="G56" s="228">
        <v>2020</v>
      </c>
      <c r="H56" s="215"/>
      <c r="I56" s="215" t="s">
        <v>137</v>
      </c>
      <c r="J56" s="215" t="s">
        <v>137</v>
      </c>
      <c r="K56" s="215">
        <v>2023</v>
      </c>
      <c r="L56" s="227">
        <v>125900</v>
      </c>
      <c r="M56" s="222">
        <v>0.3</v>
      </c>
      <c r="N56" s="220">
        <f>O56/(2025-G56)</f>
        <v>20947.9974</v>
      </c>
      <c r="O56" s="220">
        <f>L56-P56</f>
        <v>104739.98700000001</v>
      </c>
      <c r="P56" s="220">
        <f>L56*(1-M56)^(2025-G56)</f>
        <v>21160.012999999992</v>
      </c>
      <c r="Q56" s="215"/>
      <c r="R56" s="215"/>
      <c r="S56" s="230" t="s">
        <v>199</v>
      </c>
      <c r="T56" s="215" t="s">
        <v>139</v>
      </c>
      <c r="U56" s="215" t="s">
        <v>194</v>
      </c>
    </row>
    <row r="57" spans="1:21" ht="28.2">
      <c r="A57" s="214"/>
      <c r="B57" s="230" t="s">
        <v>425</v>
      </c>
      <c r="C57" s="215" t="s">
        <v>131</v>
      </c>
      <c r="D57" s="231" t="s">
        <v>432</v>
      </c>
      <c r="E57" s="217" t="s">
        <v>433</v>
      </c>
      <c r="F57" s="232" t="s">
        <v>1879</v>
      </c>
      <c r="G57" s="228">
        <v>2020</v>
      </c>
      <c r="H57" s="215"/>
      <c r="I57" s="215" t="s">
        <v>137</v>
      </c>
      <c r="J57" s="215" t="s">
        <v>137</v>
      </c>
      <c r="K57" s="215">
        <v>2023</v>
      </c>
      <c r="L57" s="227">
        <v>125900</v>
      </c>
      <c r="M57" s="222">
        <v>0.3</v>
      </c>
      <c r="N57" s="220">
        <f>O57/(2025-G57)</f>
        <v>20947.9974</v>
      </c>
      <c r="O57" s="220">
        <f>L57-P57</f>
        <v>104739.98700000001</v>
      </c>
      <c r="P57" s="220">
        <f>L57*(1-M57)^(2025-G57)</f>
        <v>21160.012999999992</v>
      </c>
      <c r="Q57" s="215"/>
      <c r="R57" s="215"/>
      <c r="S57" s="230" t="s">
        <v>193</v>
      </c>
      <c r="T57" s="215" t="s">
        <v>139</v>
      </c>
      <c r="U57" s="215" t="s">
        <v>194</v>
      </c>
    </row>
    <row r="58" spans="1:21" ht="28.2">
      <c r="A58" s="214"/>
      <c r="B58" s="230" t="s">
        <v>425</v>
      </c>
      <c r="C58" s="215" t="s">
        <v>131</v>
      </c>
      <c r="D58" s="231" t="s">
        <v>434</v>
      </c>
      <c r="E58" s="217" t="s">
        <v>435</v>
      </c>
      <c r="F58" s="232" t="s">
        <v>1879</v>
      </c>
      <c r="G58" s="228">
        <v>2020</v>
      </c>
      <c r="H58" s="215"/>
      <c r="I58" s="215" t="s">
        <v>137</v>
      </c>
      <c r="J58" s="215" t="s">
        <v>137</v>
      </c>
      <c r="K58" s="215">
        <v>2023</v>
      </c>
      <c r="L58" s="227">
        <v>125900</v>
      </c>
      <c r="M58" s="222">
        <v>0.3</v>
      </c>
      <c r="N58" s="220">
        <f>O58/(2025-G58)</f>
        <v>20947.9974</v>
      </c>
      <c r="O58" s="220">
        <f>L58-P58</f>
        <v>104739.98700000001</v>
      </c>
      <c r="P58" s="220">
        <f>L58*(1-M58)^(2025-G58)</f>
        <v>21160.012999999992</v>
      </c>
      <c r="Q58" s="215"/>
      <c r="R58" s="215"/>
      <c r="S58" s="233" t="s">
        <v>310</v>
      </c>
      <c r="T58" s="215" t="s">
        <v>139</v>
      </c>
      <c r="U58" s="215" t="s">
        <v>194</v>
      </c>
    </row>
    <row r="59" spans="1:21" ht="42">
      <c r="A59" s="214"/>
      <c r="B59" s="234" t="s">
        <v>425</v>
      </c>
      <c r="C59" s="215" t="s">
        <v>131</v>
      </c>
      <c r="D59" s="231" t="s">
        <v>436</v>
      </c>
      <c r="E59" s="217" t="s">
        <v>437</v>
      </c>
      <c r="F59" s="232" t="s">
        <v>1879</v>
      </c>
      <c r="G59" s="228">
        <v>2020</v>
      </c>
      <c r="H59" s="215"/>
      <c r="I59" s="215" t="s">
        <v>137</v>
      </c>
      <c r="J59" s="215" t="s">
        <v>137</v>
      </c>
      <c r="K59" s="215">
        <v>2023</v>
      </c>
      <c r="L59" s="227">
        <v>125900</v>
      </c>
      <c r="M59" s="222">
        <v>0.3</v>
      </c>
      <c r="N59" s="220">
        <f>O59/(2025-G59)</f>
        <v>20947.9974</v>
      </c>
      <c r="O59" s="220">
        <f>L59-P59</f>
        <v>104739.98700000001</v>
      </c>
      <c r="P59" s="220">
        <f>L59*(1-M59)^(2025-G59)</f>
        <v>21160.012999999992</v>
      </c>
      <c r="Q59" s="215"/>
      <c r="R59" s="215"/>
      <c r="S59" s="233" t="s">
        <v>438</v>
      </c>
      <c r="T59" s="215" t="s">
        <v>139</v>
      </c>
      <c r="U59" s="215" t="s">
        <v>194</v>
      </c>
    </row>
    <row r="60" spans="1:21" ht="28.2">
      <c r="A60" s="214"/>
      <c r="B60" s="234" t="s">
        <v>425</v>
      </c>
      <c r="C60" s="215" t="s">
        <v>131</v>
      </c>
      <c r="D60" s="231" t="s">
        <v>439</v>
      </c>
      <c r="E60" s="217" t="s">
        <v>440</v>
      </c>
      <c r="F60" s="232" t="s">
        <v>1879</v>
      </c>
      <c r="G60" s="228">
        <v>2020</v>
      </c>
      <c r="H60" s="215"/>
      <c r="I60" s="215" t="s">
        <v>137</v>
      </c>
      <c r="J60" s="215" t="s">
        <v>137</v>
      </c>
      <c r="K60" s="215">
        <v>2023</v>
      </c>
      <c r="L60" s="227">
        <v>125900</v>
      </c>
      <c r="M60" s="222">
        <v>0.3</v>
      </c>
      <c r="N60" s="220">
        <f>O60/(2025-G60)</f>
        <v>20947.9974</v>
      </c>
      <c r="O60" s="220">
        <f>L60-P60</f>
        <v>104739.98700000001</v>
      </c>
      <c r="P60" s="220">
        <f>L60*(1-M60)^(2025-G60)</f>
        <v>21160.012999999992</v>
      </c>
      <c r="Q60" s="215"/>
      <c r="R60" s="215"/>
      <c r="S60" s="233" t="s">
        <v>441</v>
      </c>
      <c r="T60" s="215" t="s">
        <v>139</v>
      </c>
      <c r="U60" s="215" t="s">
        <v>194</v>
      </c>
    </row>
    <row r="61" spans="1:21" ht="28.2">
      <c r="A61" s="214"/>
      <c r="B61" s="234" t="s">
        <v>425</v>
      </c>
      <c r="C61" s="215" t="s">
        <v>131</v>
      </c>
      <c r="D61" s="231" t="s">
        <v>442</v>
      </c>
      <c r="E61" s="217"/>
      <c r="F61" s="232" t="s">
        <v>1879</v>
      </c>
      <c r="G61" s="228">
        <v>2020</v>
      </c>
      <c r="H61" s="215"/>
      <c r="I61" s="215" t="s">
        <v>137</v>
      </c>
      <c r="J61" s="215" t="s">
        <v>137</v>
      </c>
      <c r="K61" s="215">
        <v>2023</v>
      </c>
      <c r="L61" s="227">
        <v>125900</v>
      </c>
      <c r="M61" s="222">
        <v>0.3</v>
      </c>
      <c r="N61" s="220">
        <f>O61/(2025-G61)</f>
        <v>20947.9974</v>
      </c>
      <c r="O61" s="220">
        <f>L61-P61</f>
        <v>104739.98700000001</v>
      </c>
      <c r="P61" s="220">
        <f>L61*(1-M61)^(2025-G61)</f>
        <v>21160.012999999992</v>
      </c>
      <c r="Q61" s="215"/>
      <c r="R61" s="215"/>
      <c r="S61" s="233" t="s">
        <v>443</v>
      </c>
      <c r="T61" s="215" t="s">
        <v>139</v>
      </c>
      <c r="U61" s="215" t="s">
        <v>194</v>
      </c>
    </row>
    <row r="62" spans="1:21" ht="28.2">
      <c r="A62" s="214"/>
      <c r="B62" s="234" t="s">
        <v>425</v>
      </c>
      <c r="C62" s="215" t="s">
        <v>131</v>
      </c>
      <c r="D62" s="231" t="s">
        <v>444</v>
      </c>
      <c r="E62" s="217"/>
      <c r="F62" s="232" t="s">
        <v>1879</v>
      </c>
      <c r="G62" s="228">
        <v>2020</v>
      </c>
      <c r="H62" s="215"/>
      <c r="I62" s="215" t="s">
        <v>137</v>
      </c>
      <c r="J62" s="215" t="s">
        <v>137</v>
      </c>
      <c r="K62" s="215">
        <v>2023</v>
      </c>
      <c r="L62" s="227">
        <v>125900</v>
      </c>
      <c r="M62" s="222">
        <v>0.3</v>
      </c>
      <c r="N62" s="220">
        <f>O62/(2025-G62)</f>
        <v>20947.9974</v>
      </c>
      <c r="O62" s="220">
        <f>L62-P62</f>
        <v>104739.98700000001</v>
      </c>
      <c r="P62" s="220">
        <f>L62*(1-M62)^(2025-G62)</f>
        <v>21160.012999999992</v>
      </c>
      <c r="Q62" s="215"/>
      <c r="R62" s="215"/>
      <c r="S62" s="233" t="s">
        <v>445</v>
      </c>
      <c r="T62" s="215" t="s">
        <v>139</v>
      </c>
      <c r="U62" s="215" t="s">
        <v>194</v>
      </c>
    </row>
    <row r="63" spans="1:21" ht="28.2">
      <c r="A63" s="214"/>
      <c r="B63" s="234" t="s">
        <v>425</v>
      </c>
      <c r="C63" s="215" t="s">
        <v>131</v>
      </c>
      <c r="D63" s="231" t="s">
        <v>446</v>
      </c>
      <c r="E63" s="217"/>
      <c r="F63" s="232" t="s">
        <v>1879</v>
      </c>
      <c r="G63" s="228">
        <v>2020</v>
      </c>
      <c r="H63" s="215"/>
      <c r="I63" s="215" t="s">
        <v>137</v>
      </c>
      <c r="J63" s="215" t="s">
        <v>137</v>
      </c>
      <c r="K63" s="215">
        <v>2023</v>
      </c>
      <c r="L63" s="227">
        <v>125900</v>
      </c>
      <c r="M63" s="222">
        <v>0.3</v>
      </c>
      <c r="N63" s="220">
        <f>O63/(2025-G63)</f>
        <v>20947.9974</v>
      </c>
      <c r="O63" s="220">
        <f>L63-P63</f>
        <v>104739.98700000001</v>
      </c>
      <c r="P63" s="220">
        <f>L63*(1-M63)^(2025-G63)</f>
        <v>21160.012999999992</v>
      </c>
      <c r="Q63" s="215"/>
      <c r="R63" s="215"/>
      <c r="S63" s="233" t="s">
        <v>235</v>
      </c>
      <c r="T63" s="215" t="s">
        <v>139</v>
      </c>
      <c r="U63" s="215" t="s">
        <v>194</v>
      </c>
    </row>
    <row r="64" spans="1:21" ht="28.2">
      <c r="A64" s="214"/>
      <c r="B64" s="234" t="s">
        <v>425</v>
      </c>
      <c r="C64" s="215" t="s">
        <v>131</v>
      </c>
      <c r="D64" s="231" t="s">
        <v>447</v>
      </c>
      <c r="E64" s="217"/>
      <c r="F64" s="232" t="s">
        <v>1879</v>
      </c>
      <c r="G64" s="228">
        <v>2020</v>
      </c>
      <c r="H64" s="215"/>
      <c r="I64" s="215" t="s">
        <v>137</v>
      </c>
      <c r="J64" s="215" t="s">
        <v>137</v>
      </c>
      <c r="K64" s="215">
        <v>2023</v>
      </c>
      <c r="L64" s="227">
        <v>125900</v>
      </c>
      <c r="M64" s="222">
        <v>0.3</v>
      </c>
      <c r="N64" s="220">
        <f>O64/(2025-G64)</f>
        <v>20947.9974</v>
      </c>
      <c r="O64" s="220">
        <f>L64-P64</f>
        <v>104739.98700000001</v>
      </c>
      <c r="P64" s="220">
        <f>L64*(1-M64)^(2025-G64)</f>
        <v>21160.012999999992</v>
      </c>
      <c r="Q64" s="215"/>
      <c r="R64" s="215"/>
      <c r="S64" s="233" t="s">
        <v>197</v>
      </c>
      <c r="T64" s="215" t="s">
        <v>139</v>
      </c>
      <c r="U64" s="215" t="s">
        <v>194</v>
      </c>
    </row>
    <row r="65" spans="1:21" ht="28.2">
      <c r="A65" s="214"/>
      <c r="B65" s="230" t="s">
        <v>425</v>
      </c>
      <c r="C65" s="215" t="s">
        <v>131</v>
      </c>
      <c r="D65" s="231" t="s">
        <v>448</v>
      </c>
      <c r="E65" s="217"/>
      <c r="F65" s="232" t="s">
        <v>1879</v>
      </c>
      <c r="G65" s="228">
        <v>2020</v>
      </c>
      <c r="H65" s="215"/>
      <c r="I65" s="215" t="s">
        <v>137</v>
      </c>
      <c r="J65" s="215" t="s">
        <v>137</v>
      </c>
      <c r="K65" s="215">
        <v>2023</v>
      </c>
      <c r="L65" s="227">
        <v>125900</v>
      </c>
      <c r="M65" s="222">
        <v>0.3</v>
      </c>
      <c r="N65" s="220">
        <f>O65/(2025-G65)</f>
        <v>20947.9974</v>
      </c>
      <c r="O65" s="220">
        <f>L65-P65</f>
        <v>104739.98700000001</v>
      </c>
      <c r="P65" s="220">
        <f>L65*(1-M65)^(2025-G65)</f>
        <v>21160.012999999992</v>
      </c>
      <c r="Q65" s="215"/>
      <c r="R65" s="215"/>
      <c r="S65" s="233" t="s">
        <v>416</v>
      </c>
      <c r="T65" s="215" t="s">
        <v>139</v>
      </c>
      <c r="U65" s="215" t="s">
        <v>194</v>
      </c>
    </row>
    <row r="66" spans="1:21" ht="28.2">
      <c r="A66" s="214"/>
      <c r="B66" s="230" t="s">
        <v>425</v>
      </c>
      <c r="C66" s="215" t="s">
        <v>131</v>
      </c>
      <c r="D66" s="231" t="s">
        <v>1828</v>
      </c>
      <c r="E66" s="217"/>
      <c r="F66" s="232" t="s">
        <v>1879</v>
      </c>
      <c r="G66" s="228">
        <v>2020</v>
      </c>
      <c r="H66" s="215"/>
      <c r="I66" s="215" t="s">
        <v>137</v>
      </c>
      <c r="J66" s="215" t="s">
        <v>137</v>
      </c>
      <c r="K66" s="215">
        <v>2023</v>
      </c>
      <c r="L66" s="227">
        <v>125900</v>
      </c>
      <c r="M66" s="222">
        <v>0.3</v>
      </c>
      <c r="N66" s="220">
        <f>O66/(2025-G66)</f>
        <v>20947.9974</v>
      </c>
      <c r="O66" s="220">
        <f>L66-P66</f>
        <v>104739.98700000001</v>
      </c>
      <c r="P66" s="220">
        <f>L66*(1-M66)^(2025-G66)</f>
        <v>21160.012999999992</v>
      </c>
      <c r="Q66" s="215"/>
      <c r="R66" s="215"/>
      <c r="S66" s="233" t="s">
        <v>356</v>
      </c>
      <c r="T66" s="215" t="s">
        <v>139</v>
      </c>
      <c r="U66" s="215" t="s">
        <v>194</v>
      </c>
    </row>
    <row r="67" spans="1:21" ht="28.2">
      <c r="A67" s="214"/>
      <c r="B67" s="230" t="s">
        <v>425</v>
      </c>
      <c r="C67" s="215" t="s">
        <v>131</v>
      </c>
      <c r="D67" s="231" t="s">
        <v>449</v>
      </c>
      <c r="E67" s="217"/>
      <c r="F67" s="232" t="s">
        <v>1879</v>
      </c>
      <c r="G67" s="228">
        <v>2020</v>
      </c>
      <c r="H67" s="215"/>
      <c r="I67" s="215" t="s">
        <v>137</v>
      </c>
      <c r="J67" s="215" t="s">
        <v>137</v>
      </c>
      <c r="K67" s="215">
        <v>2023</v>
      </c>
      <c r="L67" s="227">
        <v>125900</v>
      </c>
      <c r="M67" s="222">
        <v>0.3</v>
      </c>
      <c r="N67" s="220">
        <f>O67/(2025-G67)</f>
        <v>20947.9974</v>
      </c>
      <c r="O67" s="220">
        <f>L67-P67</f>
        <v>104739.98700000001</v>
      </c>
      <c r="P67" s="220">
        <f>L67*(1-M67)^(2025-G67)</f>
        <v>21160.012999999992</v>
      </c>
      <c r="Q67" s="215"/>
      <c r="R67" s="215"/>
      <c r="S67" s="233" t="s">
        <v>196</v>
      </c>
      <c r="T67" s="215" t="s">
        <v>139</v>
      </c>
      <c r="U67" s="215" t="s">
        <v>194</v>
      </c>
    </row>
    <row r="68" spans="1:21" ht="28.2">
      <c r="A68" s="214"/>
      <c r="B68" s="230" t="s">
        <v>425</v>
      </c>
      <c r="C68" s="215" t="s">
        <v>131</v>
      </c>
      <c r="D68" s="231" t="s">
        <v>450</v>
      </c>
      <c r="E68" s="217"/>
      <c r="F68" s="232" t="s">
        <v>1879</v>
      </c>
      <c r="G68" s="228">
        <v>2020</v>
      </c>
      <c r="H68" s="215"/>
      <c r="I68" s="215" t="s">
        <v>137</v>
      </c>
      <c r="J68" s="215" t="s">
        <v>137</v>
      </c>
      <c r="K68" s="215">
        <v>2023</v>
      </c>
      <c r="L68" s="227">
        <v>125900</v>
      </c>
      <c r="M68" s="222">
        <v>0.3</v>
      </c>
      <c r="N68" s="220">
        <f>O68/(2025-G68)</f>
        <v>20947.9974</v>
      </c>
      <c r="O68" s="220">
        <f>L68-P68</f>
        <v>104739.98700000001</v>
      </c>
      <c r="P68" s="220">
        <f>L68*(1-M68)^(2025-G68)</f>
        <v>21160.012999999992</v>
      </c>
      <c r="Q68" s="215"/>
      <c r="R68" s="215"/>
      <c r="S68" s="233" t="s">
        <v>451</v>
      </c>
      <c r="T68" s="215" t="s">
        <v>139</v>
      </c>
      <c r="U68" s="215" t="s">
        <v>194</v>
      </c>
    </row>
    <row r="69" spans="1:21" ht="28.2">
      <c r="A69" s="214"/>
      <c r="B69" s="230" t="s">
        <v>425</v>
      </c>
      <c r="C69" s="215" t="s">
        <v>131</v>
      </c>
      <c r="D69" s="231" t="s">
        <v>452</v>
      </c>
      <c r="E69" s="217"/>
      <c r="F69" s="232" t="s">
        <v>1879</v>
      </c>
      <c r="G69" s="228">
        <v>2020</v>
      </c>
      <c r="H69" s="215"/>
      <c r="I69" s="215" t="s">
        <v>137</v>
      </c>
      <c r="J69" s="215" t="s">
        <v>137</v>
      </c>
      <c r="K69" s="215">
        <v>2023</v>
      </c>
      <c r="L69" s="227">
        <v>125900</v>
      </c>
      <c r="M69" s="222">
        <v>0.3</v>
      </c>
      <c r="N69" s="220">
        <f>O69/(2025-G69)</f>
        <v>20947.9974</v>
      </c>
      <c r="O69" s="220">
        <f>L69-P69</f>
        <v>104739.98700000001</v>
      </c>
      <c r="P69" s="220">
        <f>L69*(1-M69)^(2025-G69)</f>
        <v>21160.012999999992</v>
      </c>
      <c r="Q69" s="215"/>
      <c r="R69" s="215"/>
      <c r="S69" s="233" t="s">
        <v>392</v>
      </c>
      <c r="T69" s="215" t="s">
        <v>139</v>
      </c>
      <c r="U69" s="215" t="s">
        <v>194</v>
      </c>
    </row>
    <row r="70" spans="1:21" ht="28.2">
      <c r="A70" s="214"/>
      <c r="B70" s="230" t="s">
        <v>425</v>
      </c>
      <c r="C70" s="215" t="s">
        <v>131</v>
      </c>
      <c r="D70" s="231" t="s">
        <v>453</v>
      </c>
      <c r="E70" s="217" t="s">
        <v>454</v>
      </c>
      <c r="F70" s="232" t="s">
        <v>1879</v>
      </c>
      <c r="G70" s="228">
        <v>2020</v>
      </c>
      <c r="H70" s="215"/>
      <c r="I70" s="215" t="s">
        <v>137</v>
      </c>
      <c r="J70" s="215" t="s">
        <v>137</v>
      </c>
      <c r="K70" s="215">
        <v>2023</v>
      </c>
      <c r="L70" s="227">
        <v>125900</v>
      </c>
      <c r="M70" s="222">
        <v>0.3</v>
      </c>
      <c r="N70" s="220">
        <f>O70/(2025-G70)</f>
        <v>20947.9974</v>
      </c>
      <c r="O70" s="220">
        <f>L70-P70</f>
        <v>104739.98700000001</v>
      </c>
      <c r="P70" s="220">
        <f>L70*(1-M70)^(2025-G70)</f>
        <v>21160.012999999992</v>
      </c>
      <c r="Q70" s="215"/>
      <c r="R70" s="215"/>
      <c r="S70" s="233" t="s">
        <v>455</v>
      </c>
      <c r="T70" s="215" t="s">
        <v>139</v>
      </c>
      <c r="U70" s="215" t="s">
        <v>194</v>
      </c>
    </row>
    <row r="71" spans="1:21" ht="42">
      <c r="A71" s="214"/>
      <c r="B71" s="230" t="s">
        <v>425</v>
      </c>
      <c r="C71" s="215" t="s">
        <v>131</v>
      </c>
      <c r="D71" s="231" t="s">
        <v>456</v>
      </c>
      <c r="E71" s="217"/>
      <c r="F71" s="232" t="s">
        <v>1879</v>
      </c>
      <c r="G71" s="228">
        <v>2020</v>
      </c>
      <c r="H71" s="215"/>
      <c r="I71" s="215" t="s">
        <v>137</v>
      </c>
      <c r="J71" s="215" t="s">
        <v>137</v>
      </c>
      <c r="K71" s="215">
        <v>2023</v>
      </c>
      <c r="L71" s="227">
        <v>125900</v>
      </c>
      <c r="M71" s="222">
        <v>0.3</v>
      </c>
      <c r="N71" s="220">
        <f>O71/(2025-G71)</f>
        <v>20947.9974</v>
      </c>
      <c r="O71" s="220">
        <f>L71-P71</f>
        <v>104739.98700000001</v>
      </c>
      <c r="P71" s="220">
        <f>L71*(1-M71)^(2025-G71)</f>
        <v>21160.012999999992</v>
      </c>
      <c r="Q71" s="215"/>
      <c r="R71" s="215"/>
      <c r="S71" s="233" t="s">
        <v>318</v>
      </c>
      <c r="T71" s="215" t="s">
        <v>139</v>
      </c>
      <c r="U71" s="215" t="s">
        <v>194</v>
      </c>
    </row>
    <row r="72" spans="1:21" ht="42">
      <c r="A72" s="214"/>
      <c r="B72" s="230" t="s">
        <v>425</v>
      </c>
      <c r="C72" s="215" t="s">
        <v>131</v>
      </c>
      <c r="D72" s="231" t="s">
        <v>457</v>
      </c>
      <c r="E72" s="217"/>
      <c r="F72" s="232" t="s">
        <v>1879</v>
      </c>
      <c r="G72" s="228">
        <v>2020</v>
      </c>
      <c r="H72" s="215"/>
      <c r="I72" s="215" t="s">
        <v>137</v>
      </c>
      <c r="J72" s="215" t="s">
        <v>378</v>
      </c>
      <c r="K72" s="215">
        <v>2023</v>
      </c>
      <c r="L72" s="227">
        <v>125900</v>
      </c>
      <c r="M72" s="222">
        <v>0.3</v>
      </c>
      <c r="N72" s="220">
        <f>O72/(2025-G72)</f>
        <v>20947.9974</v>
      </c>
      <c r="O72" s="220">
        <f>L72-P72</f>
        <v>104739.98700000001</v>
      </c>
      <c r="P72" s="220">
        <f>L72*(1-M72)^(2025-G72)</f>
        <v>21160.012999999992</v>
      </c>
      <c r="Q72" s="215"/>
      <c r="R72" s="215"/>
      <c r="S72" s="233" t="s">
        <v>251</v>
      </c>
      <c r="T72" s="215" t="s">
        <v>139</v>
      </c>
      <c r="U72" s="215" t="s">
        <v>194</v>
      </c>
    </row>
    <row r="73" spans="1:21" ht="28.2">
      <c r="A73" s="214"/>
      <c r="B73" s="230" t="s">
        <v>425</v>
      </c>
      <c r="C73" s="215" t="s">
        <v>131</v>
      </c>
      <c r="D73" s="231" t="s">
        <v>458</v>
      </c>
      <c r="E73" s="217" t="s">
        <v>459</v>
      </c>
      <c r="F73" s="232" t="s">
        <v>1879</v>
      </c>
      <c r="G73" s="228">
        <v>2020</v>
      </c>
      <c r="H73" s="215"/>
      <c r="I73" s="215" t="s">
        <v>137</v>
      </c>
      <c r="J73" s="215" t="s">
        <v>137</v>
      </c>
      <c r="K73" s="215">
        <v>2023</v>
      </c>
      <c r="L73" s="227">
        <v>125900</v>
      </c>
      <c r="M73" s="222">
        <v>0.3</v>
      </c>
      <c r="N73" s="220">
        <f>O73/(2025-G73)</f>
        <v>20947.9974</v>
      </c>
      <c r="O73" s="220">
        <f>L73-P73</f>
        <v>104739.98700000001</v>
      </c>
      <c r="P73" s="220">
        <f>L73*(1-M73)^(2025-G73)</f>
        <v>21160.012999999992</v>
      </c>
      <c r="Q73" s="215"/>
      <c r="R73" s="215"/>
      <c r="S73" s="233" t="s">
        <v>333</v>
      </c>
      <c r="T73" s="215" t="s">
        <v>139</v>
      </c>
      <c r="U73" s="215" t="s">
        <v>194</v>
      </c>
    </row>
    <row r="74" spans="1:21" ht="28.2">
      <c r="A74" s="214"/>
      <c r="B74" s="230" t="s">
        <v>425</v>
      </c>
      <c r="C74" s="215" t="s">
        <v>131</v>
      </c>
      <c r="D74" s="231" t="s">
        <v>460</v>
      </c>
      <c r="E74" s="217" t="s">
        <v>461</v>
      </c>
      <c r="F74" s="232" t="s">
        <v>1879</v>
      </c>
      <c r="G74" s="228">
        <v>2020</v>
      </c>
      <c r="H74" s="215"/>
      <c r="I74" s="215" t="s">
        <v>137</v>
      </c>
      <c r="J74" s="215" t="s">
        <v>137</v>
      </c>
      <c r="K74" s="215">
        <v>2023</v>
      </c>
      <c r="L74" s="227">
        <v>125900</v>
      </c>
      <c r="M74" s="222">
        <v>0.3</v>
      </c>
      <c r="N74" s="220">
        <f>O74/(2025-G74)</f>
        <v>20947.9974</v>
      </c>
      <c r="O74" s="220">
        <f>L74-P74</f>
        <v>104739.98700000001</v>
      </c>
      <c r="P74" s="220">
        <f>L74*(1-M74)^(2025-G74)</f>
        <v>21160.012999999992</v>
      </c>
      <c r="Q74" s="215"/>
      <c r="R74" s="215"/>
      <c r="S74" s="233" t="s">
        <v>396</v>
      </c>
      <c r="T74" s="215" t="s">
        <v>139</v>
      </c>
      <c r="U74" s="215" t="s">
        <v>194</v>
      </c>
    </row>
    <row r="75" spans="1:21" ht="28.2">
      <c r="A75" s="214"/>
      <c r="B75" s="230" t="s">
        <v>425</v>
      </c>
      <c r="C75" s="215" t="s">
        <v>131</v>
      </c>
      <c r="D75" s="231" t="s">
        <v>462</v>
      </c>
      <c r="E75" s="217"/>
      <c r="F75" s="232" t="s">
        <v>1879</v>
      </c>
      <c r="G75" s="228">
        <v>2020</v>
      </c>
      <c r="H75" s="215"/>
      <c r="I75" s="215" t="s">
        <v>137</v>
      </c>
      <c r="J75" s="215" t="s">
        <v>137</v>
      </c>
      <c r="K75" s="215">
        <v>2023</v>
      </c>
      <c r="L75" s="227">
        <v>125900</v>
      </c>
      <c r="M75" s="222">
        <v>0.3</v>
      </c>
      <c r="N75" s="220">
        <f>O75/(2025-G75)</f>
        <v>20947.9974</v>
      </c>
      <c r="O75" s="220">
        <f>L75-P75</f>
        <v>104739.98700000001</v>
      </c>
      <c r="P75" s="220">
        <f>L75*(1-M75)^(2025-G75)</f>
        <v>21160.012999999992</v>
      </c>
      <c r="Q75" s="215"/>
      <c r="R75" s="215"/>
      <c r="S75" s="233" t="s">
        <v>1829</v>
      </c>
      <c r="T75" s="215" t="s">
        <v>139</v>
      </c>
      <c r="U75" s="215" t="s">
        <v>194</v>
      </c>
    </row>
    <row r="76" spans="1:21" ht="28.2">
      <c r="A76" s="214"/>
      <c r="B76" s="230" t="s">
        <v>425</v>
      </c>
      <c r="C76" s="215" t="s">
        <v>131</v>
      </c>
      <c r="D76" s="231" t="s">
        <v>463</v>
      </c>
      <c r="E76" s="217"/>
      <c r="F76" s="232" t="s">
        <v>1879</v>
      </c>
      <c r="G76" s="228">
        <v>2020</v>
      </c>
      <c r="H76" s="215"/>
      <c r="I76" s="215" t="s">
        <v>137</v>
      </c>
      <c r="J76" s="215" t="s">
        <v>137</v>
      </c>
      <c r="K76" s="215">
        <v>2023</v>
      </c>
      <c r="L76" s="227">
        <v>125900</v>
      </c>
      <c r="M76" s="222">
        <v>0.3</v>
      </c>
      <c r="N76" s="220">
        <f>O76/(2025-G76)</f>
        <v>20947.9974</v>
      </c>
      <c r="O76" s="220">
        <f>L76-P76</f>
        <v>104739.98700000001</v>
      </c>
      <c r="P76" s="220">
        <f>L76*(1-M76)^(2025-G76)</f>
        <v>21160.012999999992</v>
      </c>
      <c r="Q76" s="215"/>
      <c r="R76" s="215"/>
      <c r="S76" s="233" t="s">
        <v>198</v>
      </c>
      <c r="T76" s="215" t="s">
        <v>139</v>
      </c>
      <c r="U76" s="215" t="s">
        <v>194</v>
      </c>
    </row>
    <row r="77" spans="1:21" ht="28.2">
      <c r="A77" s="214"/>
      <c r="B77" s="230" t="s">
        <v>425</v>
      </c>
      <c r="C77" s="215" t="s">
        <v>131</v>
      </c>
      <c r="D77" s="231" t="s">
        <v>465</v>
      </c>
      <c r="E77" s="217" t="s">
        <v>466</v>
      </c>
      <c r="F77" s="232" t="s">
        <v>1879</v>
      </c>
      <c r="G77" s="228">
        <v>2020</v>
      </c>
      <c r="H77" s="215"/>
      <c r="I77" s="215" t="s">
        <v>137</v>
      </c>
      <c r="J77" s="215" t="s">
        <v>137</v>
      </c>
      <c r="K77" s="215">
        <v>2023</v>
      </c>
      <c r="L77" s="227">
        <v>125900</v>
      </c>
      <c r="M77" s="222">
        <v>0.3</v>
      </c>
      <c r="N77" s="220">
        <f>O77/(2025-G77)</f>
        <v>20947.9974</v>
      </c>
      <c r="O77" s="220">
        <f>L77-P77</f>
        <v>104739.98700000001</v>
      </c>
      <c r="P77" s="220">
        <f>L77*(1-M77)^(2025-G77)</f>
        <v>21160.012999999992</v>
      </c>
      <c r="Q77" s="215"/>
      <c r="R77" s="215"/>
      <c r="S77" s="233" t="s">
        <v>467</v>
      </c>
      <c r="T77" s="215" t="s">
        <v>139</v>
      </c>
      <c r="U77" s="215" t="s">
        <v>194</v>
      </c>
    </row>
    <row r="78" spans="1:21" ht="28.2">
      <c r="A78" s="214"/>
      <c r="B78" s="230" t="s">
        <v>425</v>
      </c>
      <c r="C78" s="215" t="s">
        <v>131</v>
      </c>
      <c r="D78" s="231" t="s">
        <v>468</v>
      </c>
      <c r="E78" s="217"/>
      <c r="F78" s="232" t="s">
        <v>1879</v>
      </c>
      <c r="G78" s="228">
        <v>2020</v>
      </c>
      <c r="H78" s="215"/>
      <c r="I78" s="215" t="s">
        <v>137</v>
      </c>
      <c r="J78" s="215" t="s">
        <v>137</v>
      </c>
      <c r="K78" s="215">
        <v>2023</v>
      </c>
      <c r="L78" s="227">
        <v>125900</v>
      </c>
      <c r="M78" s="222">
        <v>0.3</v>
      </c>
      <c r="N78" s="220">
        <f>O78/(2025-G78)</f>
        <v>20947.9974</v>
      </c>
      <c r="O78" s="220">
        <f>L78-P78</f>
        <v>104739.98700000001</v>
      </c>
      <c r="P78" s="220">
        <f>L78*(1-M78)^(2025-G78)</f>
        <v>21160.012999999992</v>
      </c>
      <c r="Q78" s="215"/>
      <c r="R78" s="215"/>
      <c r="S78" s="233" t="s">
        <v>469</v>
      </c>
      <c r="T78" s="215" t="s">
        <v>139</v>
      </c>
      <c r="U78" s="215" t="s">
        <v>194</v>
      </c>
    </row>
    <row r="79" spans="1:21" ht="28.2">
      <c r="A79" s="214"/>
      <c r="B79" s="230" t="s">
        <v>425</v>
      </c>
      <c r="C79" s="215" t="s">
        <v>131</v>
      </c>
      <c r="D79" s="231" t="s">
        <v>1830</v>
      </c>
      <c r="E79" s="217"/>
      <c r="F79" s="232" t="s">
        <v>1879</v>
      </c>
      <c r="G79" s="228">
        <v>2020</v>
      </c>
      <c r="H79" s="215"/>
      <c r="I79" s="215" t="s">
        <v>137</v>
      </c>
      <c r="J79" s="215" t="s">
        <v>137</v>
      </c>
      <c r="K79" s="215">
        <v>2023</v>
      </c>
      <c r="L79" s="227">
        <v>125900</v>
      </c>
      <c r="M79" s="222">
        <v>0.3</v>
      </c>
      <c r="N79" s="220">
        <f>O79/(2025-G79)</f>
        <v>20947.9974</v>
      </c>
      <c r="O79" s="220">
        <f>L79-P79</f>
        <v>104739.98700000001</v>
      </c>
      <c r="P79" s="220">
        <f>L79*(1-M79)^(2025-G79)</f>
        <v>21160.012999999992</v>
      </c>
      <c r="Q79" s="215"/>
      <c r="R79" s="215"/>
      <c r="S79" s="233" t="s">
        <v>402</v>
      </c>
      <c r="T79" s="215" t="s">
        <v>139</v>
      </c>
      <c r="U79" s="215" t="s">
        <v>194</v>
      </c>
    </row>
    <row r="80" spans="1:21" ht="28.2">
      <c r="A80" s="214"/>
      <c r="B80" s="230" t="s">
        <v>425</v>
      </c>
      <c r="C80" s="215" t="s">
        <v>131</v>
      </c>
      <c r="D80" s="231" t="s">
        <v>470</v>
      </c>
      <c r="E80" s="217" t="s">
        <v>471</v>
      </c>
      <c r="F80" s="232" t="s">
        <v>1879</v>
      </c>
      <c r="G80" s="228">
        <v>2020</v>
      </c>
      <c r="H80" s="215"/>
      <c r="I80" s="215" t="s">
        <v>137</v>
      </c>
      <c r="J80" s="215" t="s">
        <v>359</v>
      </c>
      <c r="K80" s="215">
        <v>2023</v>
      </c>
      <c r="L80" s="227">
        <v>125900</v>
      </c>
      <c r="M80" s="222">
        <v>0.3</v>
      </c>
      <c r="N80" s="220">
        <f>O80/(2025-G80)</f>
        <v>20947.9974</v>
      </c>
      <c r="O80" s="220">
        <f>L80-P80</f>
        <v>104739.98700000001</v>
      </c>
      <c r="P80" s="220">
        <f>L80*(1-M80)^(2025-G80)</f>
        <v>21160.012999999992</v>
      </c>
      <c r="Q80" s="215"/>
      <c r="R80" s="215"/>
      <c r="S80" s="233" t="s">
        <v>360</v>
      </c>
      <c r="T80" s="215" t="s">
        <v>139</v>
      </c>
      <c r="U80" s="215" t="s">
        <v>194</v>
      </c>
    </row>
    <row r="81" spans="1:21" ht="28.2">
      <c r="A81" s="214"/>
      <c r="B81" s="230" t="s">
        <v>425</v>
      </c>
      <c r="C81" s="215" t="s">
        <v>131</v>
      </c>
      <c r="D81" s="231" t="s">
        <v>472</v>
      </c>
      <c r="E81" s="217"/>
      <c r="F81" s="232" t="s">
        <v>1879</v>
      </c>
      <c r="G81" s="228">
        <v>2020</v>
      </c>
      <c r="H81" s="215"/>
      <c r="I81" s="215" t="s">
        <v>137</v>
      </c>
      <c r="J81" s="215" t="s">
        <v>137</v>
      </c>
      <c r="K81" s="215">
        <v>2023</v>
      </c>
      <c r="L81" s="227">
        <v>125900</v>
      </c>
      <c r="M81" s="222">
        <v>0.3</v>
      </c>
      <c r="N81" s="220">
        <f>O81/(2025-G81)</f>
        <v>20947.9974</v>
      </c>
      <c r="O81" s="220">
        <f>L81-P81</f>
        <v>104739.98700000001</v>
      </c>
      <c r="P81" s="220">
        <f>L81*(1-M81)^(2025-G81)</f>
        <v>21160.012999999992</v>
      </c>
      <c r="Q81" s="215"/>
      <c r="R81" s="215"/>
      <c r="S81" s="233" t="s">
        <v>648</v>
      </c>
      <c r="T81" s="215" t="s">
        <v>139</v>
      </c>
      <c r="U81" s="215" t="s">
        <v>194</v>
      </c>
    </row>
    <row r="82" spans="1:21" ht="28.2">
      <c r="A82" s="214"/>
      <c r="B82" s="230" t="s">
        <v>425</v>
      </c>
      <c r="C82" s="215" t="s">
        <v>131</v>
      </c>
      <c r="D82" s="231" t="s">
        <v>473</v>
      </c>
      <c r="E82" s="217" t="s">
        <v>474</v>
      </c>
      <c r="F82" s="232" t="s">
        <v>1879</v>
      </c>
      <c r="G82" s="228">
        <v>2020</v>
      </c>
      <c r="H82" s="215"/>
      <c r="I82" s="215" t="s">
        <v>137</v>
      </c>
      <c r="J82" s="215" t="s">
        <v>137</v>
      </c>
      <c r="K82" s="215">
        <v>2023</v>
      </c>
      <c r="L82" s="227">
        <v>125900</v>
      </c>
      <c r="M82" s="222">
        <v>0.3</v>
      </c>
      <c r="N82" s="220">
        <f>O82/(2025-G82)</f>
        <v>20947.9974</v>
      </c>
      <c r="O82" s="220">
        <f>L82-P82</f>
        <v>104739.98700000001</v>
      </c>
      <c r="P82" s="220">
        <f>L82*(1-M82)^(2025-G82)</f>
        <v>21160.012999999992</v>
      </c>
      <c r="Q82" s="215"/>
      <c r="R82" s="215"/>
      <c r="S82" s="233" t="s">
        <v>855</v>
      </c>
      <c r="T82" s="215" t="s">
        <v>139</v>
      </c>
      <c r="U82" s="215" t="s">
        <v>194</v>
      </c>
    </row>
    <row r="83" spans="1:21" ht="28.2">
      <c r="A83" s="214"/>
      <c r="B83" s="230" t="s">
        <v>425</v>
      </c>
      <c r="C83" s="215" t="s">
        <v>131</v>
      </c>
      <c r="D83" s="231" t="s">
        <v>475</v>
      </c>
      <c r="E83" s="217"/>
      <c r="F83" s="232" t="s">
        <v>1879</v>
      </c>
      <c r="G83" s="228">
        <v>2020</v>
      </c>
      <c r="H83" s="215"/>
      <c r="I83" s="215" t="s">
        <v>137</v>
      </c>
      <c r="J83" s="215" t="s">
        <v>137</v>
      </c>
      <c r="K83" s="215">
        <v>2023</v>
      </c>
      <c r="L83" s="227">
        <v>125900</v>
      </c>
      <c r="M83" s="222">
        <v>0.3</v>
      </c>
      <c r="N83" s="220">
        <f>O83/(2025-G83)</f>
        <v>20947.9974</v>
      </c>
      <c r="O83" s="220">
        <f>L83-P83</f>
        <v>104739.98700000001</v>
      </c>
      <c r="P83" s="220">
        <f>L83*(1-M83)^(2025-G83)</f>
        <v>21160.012999999992</v>
      </c>
      <c r="Q83" s="215"/>
      <c r="R83" s="215"/>
      <c r="S83" s="233" t="s">
        <v>351</v>
      </c>
      <c r="T83" s="215" t="s">
        <v>139</v>
      </c>
      <c r="U83" s="215" t="s">
        <v>194</v>
      </c>
    </row>
    <row r="84" spans="1:21" ht="28.2">
      <c r="A84" s="214"/>
      <c r="B84" s="230" t="s">
        <v>425</v>
      </c>
      <c r="C84" s="215" t="s">
        <v>131</v>
      </c>
      <c r="D84" s="231" t="s">
        <v>476</v>
      </c>
      <c r="E84" s="217" t="s">
        <v>477</v>
      </c>
      <c r="F84" s="232" t="s">
        <v>1879</v>
      </c>
      <c r="G84" s="228">
        <v>2020</v>
      </c>
      <c r="H84" s="215"/>
      <c r="I84" s="215" t="s">
        <v>137</v>
      </c>
      <c r="J84" s="215" t="s">
        <v>208</v>
      </c>
      <c r="K84" s="215">
        <v>2023</v>
      </c>
      <c r="L84" s="227">
        <v>125900</v>
      </c>
      <c r="M84" s="222">
        <v>0.3</v>
      </c>
      <c r="N84" s="220">
        <f>O84/(2025-G84)</f>
        <v>20947.9974</v>
      </c>
      <c r="O84" s="220">
        <f>L84-P84</f>
        <v>104739.98700000001</v>
      </c>
      <c r="P84" s="220">
        <f>L84*(1-M84)^(2025-G84)</f>
        <v>21160.012999999992</v>
      </c>
      <c r="Q84" s="215"/>
      <c r="R84" s="215"/>
      <c r="S84" s="233" t="s">
        <v>372</v>
      </c>
      <c r="T84" s="215" t="s">
        <v>139</v>
      </c>
      <c r="U84" s="215" t="s">
        <v>194</v>
      </c>
    </row>
    <row r="85" spans="1:21" ht="42">
      <c r="A85" s="214"/>
      <c r="B85" s="230" t="s">
        <v>425</v>
      </c>
      <c r="C85" s="215" t="s">
        <v>131</v>
      </c>
      <c r="D85" s="231" t="s">
        <v>478</v>
      </c>
      <c r="E85" s="217"/>
      <c r="F85" s="232" t="s">
        <v>1879</v>
      </c>
      <c r="G85" s="228">
        <v>2020</v>
      </c>
      <c r="H85" s="215"/>
      <c r="I85" s="215" t="s">
        <v>137</v>
      </c>
      <c r="J85" s="215" t="s">
        <v>137</v>
      </c>
      <c r="K85" s="215">
        <v>2023</v>
      </c>
      <c r="L85" s="227">
        <v>125900</v>
      </c>
      <c r="M85" s="222">
        <v>0.3</v>
      </c>
      <c r="N85" s="220">
        <f>O85/(2025-G85)</f>
        <v>20947.9974</v>
      </c>
      <c r="O85" s="220">
        <f>L85-P85</f>
        <v>104739.98700000001</v>
      </c>
      <c r="P85" s="220">
        <f>L85*(1-M85)^(2025-G85)</f>
        <v>21160.012999999992</v>
      </c>
      <c r="Q85" s="215"/>
      <c r="R85" s="215"/>
      <c r="S85" s="233" t="s">
        <v>479</v>
      </c>
      <c r="T85" s="215" t="s">
        <v>139</v>
      </c>
      <c r="U85" s="215" t="s">
        <v>194</v>
      </c>
    </row>
    <row r="86" spans="1:21" ht="28.2">
      <c r="A86" s="214"/>
      <c r="B86" s="230" t="s">
        <v>425</v>
      </c>
      <c r="C86" s="215" t="s">
        <v>131</v>
      </c>
      <c r="D86" s="235" t="s">
        <v>480</v>
      </c>
      <c r="E86" s="236"/>
      <c r="F86" s="236" t="s">
        <v>481</v>
      </c>
      <c r="G86" s="228">
        <v>2015</v>
      </c>
      <c r="H86" s="237"/>
      <c r="I86" s="237" t="s">
        <v>137</v>
      </c>
      <c r="J86" s="237" t="s">
        <v>137</v>
      </c>
      <c r="K86" s="237">
        <v>2018</v>
      </c>
      <c r="L86" s="238">
        <v>1</v>
      </c>
      <c r="M86" s="239">
        <v>0.3</v>
      </c>
      <c r="N86" s="220">
        <f>O86/(2025-G86)</f>
        <v>9.7175247510000007E-2</v>
      </c>
      <c r="O86" s="220">
        <f>L86-P86</f>
        <v>0.97175247510000007</v>
      </c>
      <c r="P86" s="220">
        <f>L86*(1-M86)^(2025-G86)</f>
        <v>2.824752489999998E-2</v>
      </c>
      <c r="Q86" s="237"/>
      <c r="R86" s="237"/>
      <c r="S86" s="240" t="s">
        <v>482</v>
      </c>
      <c r="T86" s="237" t="s">
        <v>139</v>
      </c>
      <c r="U86" s="215" t="s">
        <v>194</v>
      </c>
    </row>
    <row r="87" spans="1:21" ht="20.399999999999999" customHeight="1">
      <c r="A87" s="214"/>
      <c r="B87" s="230" t="s">
        <v>483</v>
      </c>
      <c r="C87" s="215" t="s">
        <v>131</v>
      </c>
      <c r="D87" s="241" t="s">
        <v>485</v>
      </c>
      <c r="E87" s="217" t="s">
        <v>486</v>
      </c>
      <c r="F87" s="230" t="s">
        <v>487</v>
      </c>
      <c r="G87" s="228">
        <v>2015</v>
      </c>
      <c r="H87" s="215"/>
      <c r="I87" s="215" t="s">
        <v>137</v>
      </c>
      <c r="J87" s="215" t="s">
        <v>137</v>
      </c>
      <c r="K87" s="215">
        <v>2018</v>
      </c>
      <c r="L87" s="242">
        <v>223521</v>
      </c>
      <c r="M87" s="222">
        <v>0.3</v>
      </c>
      <c r="N87" s="220">
        <f>O87/(2025-G87)</f>
        <v>21720.70849868271</v>
      </c>
      <c r="O87" s="220">
        <f>L87-P87</f>
        <v>217207.0849868271</v>
      </c>
      <c r="P87" s="220">
        <f>L87*(1-M87)^(2025-G87)</f>
        <v>6313.9150131728957</v>
      </c>
      <c r="Q87" s="215"/>
      <c r="R87" s="215"/>
      <c r="S87" s="215" t="s">
        <v>484</v>
      </c>
      <c r="T87" s="215" t="s">
        <v>139</v>
      </c>
      <c r="U87" s="215" t="s">
        <v>194</v>
      </c>
    </row>
    <row r="88" spans="1:21" ht="27.6">
      <c r="A88" s="214"/>
      <c r="B88" s="230" t="s">
        <v>483</v>
      </c>
      <c r="C88" s="215" t="s">
        <v>131</v>
      </c>
      <c r="D88" s="243" t="s">
        <v>488</v>
      </c>
      <c r="E88" s="217"/>
      <c r="F88" s="244" t="s">
        <v>489</v>
      </c>
      <c r="G88" s="228">
        <v>2011</v>
      </c>
      <c r="H88" s="215"/>
      <c r="I88" s="215" t="s">
        <v>137</v>
      </c>
      <c r="J88" s="215" t="s">
        <v>137</v>
      </c>
      <c r="K88" s="215">
        <v>2014</v>
      </c>
      <c r="L88" s="245">
        <v>23500</v>
      </c>
      <c r="M88" s="222">
        <v>0.3</v>
      </c>
      <c r="N88" s="220">
        <f>O88/(2025-G88)</f>
        <v>1667.1869698486062</v>
      </c>
      <c r="O88" s="220">
        <f>L88-P88</f>
        <v>23340.617577880486</v>
      </c>
      <c r="P88" s="220">
        <f>L88*(1-M88)^(2025-G88)</f>
        <v>159.38242211951481</v>
      </c>
      <c r="Q88" s="215"/>
      <c r="R88" s="215"/>
      <c r="S88" s="215" t="s">
        <v>351</v>
      </c>
      <c r="T88" s="215" t="s">
        <v>139</v>
      </c>
      <c r="U88" s="215" t="s">
        <v>194</v>
      </c>
    </row>
    <row r="89" spans="1:21" ht="27.6">
      <c r="A89" s="214"/>
      <c r="B89" s="230" t="s">
        <v>483</v>
      </c>
      <c r="C89" s="215" t="s">
        <v>131</v>
      </c>
      <c r="D89" s="241" t="s">
        <v>490</v>
      </c>
      <c r="E89" s="217" t="s">
        <v>491</v>
      </c>
      <c r="F89" s="244" t="s">
        <v>492</v>
      </c>
      <c r="G89" s="228">
        <v>2011</v>
      </c>
      <c r="H89" s="215"/>
      <c r="I89" s="215" t="s">
        <v>137</v>
      </c>
      <c r="J89" s="215" t="s">
        <v>137</v>
      </c>
      <c r="K89" s="215">
        <v>2012</v>
      </c>
      <c r="L89" s="227">
        <v>40000</v>
      </c>
      <c r="M89" s="222">
        <v>0.3</v>
      </c>
      <c r="N89" s="220">
        <f>O89/(2025-G89)</f>
        <v>2837.7650550614571</v>
      </c>
      <c r="O89" s="220">
        <f>L89-P89</f>
        <v>39728.710770860402</v>
      </c>
      <c r="P89" s="220">
        <f>L89*(1-M89)^(2025-G89)</f>
        <v>271.28922913959968</v>
      </c>
      <c r="Q89" s="215"/>
      <c r="R89" s="215"/>
      <c r="S89" s="215" t="s">
        <v>416</v>
      </c>
      <c r="T89" s="215" t="s">
        <v>139</v>
      </c>
      <c r="U89" s="215" t="s">
        <v>194</v>
      </c>
    </row>
    <row r="90" spans="1:21">
      <c r="A90" s="214"/>
      <c r="B90" s="230" t="s">
        <v>483</v>
      </c>
      <c r="C90" s="215" t="s">
        <v>131</v>
      </c>
      <c r="D90" s="241" t="s">
        <v>493</v>
      </c>
      <c r="E90" s="217" t="s">
        <v>494</v>
      </c>
      <c r="F90" s="244" t="s">
        <v>489</v>
      </c>
      <c r="G90" s="228">
        <v>2011</v>
      </c>
      <c r="H90" s="215"/>
      <c r="I90" s="215" t="s">
        <v>137</v>
      </c>
      <c r="J90" s="215" t="s">
        <v>137</v>
      </c>
      <c r="K90" s="215">
        <v>2014</v>
      </c>
      <c r="L90" s="245">
        <v>23500</v>
      </c>
      <c r="M90" s="222">
        <v>0.3</v>
      </c>
      <c r="N90" s="220">
        <f>O90/(2025-G90)</f>
        <v>1667.1869698486062</v>
      </c>
      <c r="O90" s="220">
        <f>L90-P90</f>
        <v>23340.617577880486</v>
      </c>
      <c r="P90" s="220">
        <f>L90*(1-M90)^(2025-G90)</f>
        <v>159.38242211951481</v>
      </c>
      <c r="Q90" s="215"/>
      <c r="R90" s="215"/>
      <c r="S90" s="215" t="s">
        <v>381</v>
      </c>
      <c r="T90" s="215" t="s">
        <v>139</v>
      </c>
      <c r="U90" s="215" t="s">
        <v>194</v>
      </c>
    </row>
    <row r="91" spans="1:21">
      <c r="A91" s="214"/>
      <c r="B91" s="230" t="s">
        <v>483</v>
      </c>
      <c r="C91" s="215" t="s">
        <v>131</v>
      </c>
      <c r="D91" s="241" t="s">
        <v>495</v>
      </c>
      <c r="E91" s="217" t="s">
        <v>496</v>
      </c>
      <c r="F91" s="244" t="s">
        <v>489</v>
      </c>
      <c r="G91" s="228">
        <v>2010</v>
      </c>
      <c r="H91" s="215"/>
      <c r="I91" s="215" t="s">
        <v>137</v>
      </c>
      <c r="J91" s="215" t="s">
        <v>137</v>
      </c>
      <c r="K91" s="215">
        <v>2013</v>
      </c>
      <c r="L91" s="245">
        <v>27984</v>
      </c>
      <c r="M91" s="222">
        <v>0.3</v>
      </c>
      <c r="N91" s="220">
        <f>O91/(2025-G91)</f>
        <v>1856.7429492470503</v>
      </c>
      <c r="O91" s="220">
        <f>L91-P91</f>
        <v>27851.144238705754</v>
      </c>
      <c r="P91" s="220">
        <f>L91*(1-M91)^(2025-G91)</f>
        <v>132.85576129424476</v>
      </c>
      <c r="Q91" s="215"/>
      <c r="R91" s="215"/>
      <c r="S91" s="215" t="s">
        <v>356</v>
      </c>
      <c r="T91" s="215" t="s">
        <v>139</v>
      </c>
      <c r="U91" s="215" t="s">
        <v>194</v>
      </c>
    </row>
    <row r="92" spans="1:21">
      <c r="A92" s="214"/>
      <c r="B92" s="230" t="s">
        <v>483</v>
      </c>
      <c r="C92" s="215" t="s">
        <v>131</v>
      </c>
      <c r="D92" s="246" t="s">
        <v>497</v>
      </c>
      <c r="E92" s="217" t="s">
        <v>498</v>
      </c>
      <c r="F92" s="230" t="s">
        <v>499</v>
      </c>
      <c r="G92" s="228">
        <v>2010</v>
      </c>
      <c r="H92" s="215"/>
      <c r="I92" s="215" t="s">
        <v>137</v>
      </c>
      <c r="J92" s="215" t="s">
        <v>137</v>
      </c>
      <c r="K92" s="215">
        <v>2013</v>
      </c>
      <c r="L92" s="245">
        <v>27984</v>
      </c>
      <c r="M92" s="222">
        <v>0.3</v>
      </c>
      <c r="N92" s="220">
        <f>O92/(2025-G92)</f>
        <v>1856.7429492470503</v>
      </c>
      <c r="O92" s="220">
        <f>L92-P92</f>
        <v>27851.144238705754</v>
      </c>
      <c r="P92" s="220">
        <f>L92*(1-M92)^(2025-G92)</f>
        <v>132.85576129424476</v>
      </c>
      <c r="Q92" s="215"/>
      <c r="R92" s="215"/>
      <c r="S92" s="215" t="s">
        <v>330</v>
      </c>
      <c r="T92" s="215" t="s">
        <v>139</v>
      </c>
      <c r="U92" s="215" t="s">
        <v>194</v>
      </c>
    </row>
    <row r="93" spans="1:21" ht="41.4">
      <c r="A93" s="214"/>
      <c r="B93" s="230" t="s">
        <v>483</v>
      </c>
      <c r="C93" s="215" t="s">
        <v>131</v>
      </c>
      <c r="D93" s="246" t="s">
        <v>500</v>
      </c>
      <c r="E93" s="217"/>
      <c r="F93" s="244" t="s">
        <v>501</v>
      </c>
      <c r="G93" s="228">
        <v>2010</v>
      </c>
      <c r="H93" s="215"/>
      <c r="I93" s="215" t="s">
        <v>137</v>
      </c>
      <c r="J93" s="215" t="s">
        <v>137</v>
      </c>
      <c r="K93" s="215">
        <v>2013</v>
      </c>
      <c r="L93" s="245">
        <v>27984</v>
      </c>
      <c r="M93" s="222">
        <v>0.3</v>
      </c>
      <c r="N93" s="220">
        <f>O93/(2025-G93)</f>
        <v>1856.7429492470503</v>
      </c>
      <c r="O93" s="220">
        <f>L93-P93</f>
        <v>27851.144238705754</v>
      </c>
      <c r="P93" s="220">
        <f>L93*(1-M93)^(2025-G93)</f>
        <v>132.85576129424476</v>
      </c>
      <c r="Q93" s="215"/>
      <c r="R93" s="215"/>
      <c r="S93" s="215" t="s">
        <v>430</v>
      </c>
      <c r="T93" s="215" t="s">
        <v>139</v>
      </c>
      <c r="U93" s="215" t="s">
        <v>194</v>
      </c>
    </row>
    <row r="94" spans="1:21" ht="27.6">
      <c r="A94" s="214"/>
      <c r="B94" s="230" t="s">
        <v>483</v>
      </c>
      <c r="C94" s="215" t="s">
        <v>131</v>
      </c>
      <c r="D94" s="246" t="s">
        <v>502</v>
      </c>
      <c r="E94" s="217" t="s">
        <v>503</v>
      </c>
      <c r="F94" s="244" t="s">
        <v>504</v>
      </c>
      <c r="G94" s="228">
        <v>2019</v>
      </c>
      <c r="H94" s="215"/>
      <c r="I94" s="215" t="s">
        <v>137</v>
      </c>
      <c r="J94" s="215" t="s">
        <v>137</v>
      </c>
      <c r="K94" s="215">
        <v>2022</v>
      </c>
      <c r="L94" s="245">
        <v>22544</v>
      </c>
      <c r="M94" s="222">
        <v>0.3</v>
      </c>
      <c r="N94" s="220">
        <f>O94/(2025-G94)</f>
        <v>3315.2868240000003</v>
      </c>
      <c r="O94" s="220">
        <f>L94-P94</f>
        <v>19891.720944000001</v>
      </c>
      <c r="P94" s="220">
        <f>L94*(1-M94)^(2025-G94)</f>
        <v>2652.2790559999989</v>
      </c>
      <c r="Q94" s="215"/>
      <c r="R94" s="215"/>
      <c r="S94" s="215" t="s">
        <v>198</v>
      </c>
      <c r="T94" s="215" t="s">
        <v>139</v>
      </c>
      <c r="U94" s="215" t="s">
        <v>194</v>
      </c>
    </row>
    <row r="95" spans="1:21" ht="28.2">
      <c r="A95" s="214"/>
      <c r="B95" s="232" t="s">
        <v>483</v>
      </c>
      <c r="C95" s="215" t="s">
        <v>131</v>
      </c>
      <c r="D95" s="231" t="s">
        <v>505</v>
      </c>
      <c r="E95" s="215" t="s">
        <v>494</v>
      </c>
      <c r="F95" s="232" t="s">
        <v>506</v>
      </c>
      <c r="G95" s="228">
        <v>2012</v>
      </c>
      <c r="H95" s="215"/>
      <c r="I95" s="215" t="s">
        <v>507</v>
      </c>
      <c r="J95" s="215" t="s">
        <v>507</v>
      </c>
      <c r="K95" s="215">
        <v>2012</v>
      </c>
      <c r="L95" s="247">
        <v>180000</v>
      </c>
      <c r="M95" s="222">
        <v>0.3</v>
      </c>
      <c r="N95" s="220">
        <f>O95/(2025-G95)</f>
        <v>13711.999831744153</v>
      </c>
      <c r="O95" s="220">
        <f>L95-P95</f>
        <v>178255.997812674</v>
      </c>
      <c r="P95" s="220">
        <f>L95*(1-M95)^(2025-G95)</f>
        <v>1744.0021873259982</v>
      </c>
      <c r="Q95" s="215"/>
      <c r="R95" s="215"/>
      <c r="S95" s="215" t="s">
        <v>417</v>
      </c>
      <c r="T95" s="215" t="s">
        <v>139</v>
      </c>
      <c r="U95" s="215" t="s">
        <v>194</v>
      </c>
    </row>
    <row r="96" spans="1:21" ht="28.2">
      <c r="A96" s="214"/>
      <c r="B96" s="230" t="s">
        <v>483</v>
      </c>
      <c r="C96" s="215" t="s">
        <v>131</v>
      </c>
      <c r="D96" s="243" t="s">
        <v>508</v>
      </c>
      <c r="E96" s="217" t="s">
        <v>509</v>
      </c>
      <c r="F96" s="230" t="s">
        <v>510</v>
      </c>
      <c r="G96" s="228">
        <v>2020</v>
      </c>
      <c r="H96" s="215"/>
      <c r="I96" s="215" t="s">
        <v>137</v>
      </c>
      <c r="J96" s="215" t="s">
        <v>137</v>
      </c>
      <c r="K96" s="215">
        <v>2023</v>
      </c>
      <c r="L96" s="245">
        <v>49500</v>
      </c>
      <c r="M96" s="222">
        <v>0.3</v>
      </c>
      <c r="N96" s="220">
        <f>O96/(2025-G96)</f>
        <v>8236.107</v>
      </c>
      <c r="O96" s="220">
        <f>L96-P96</f>
        <v>41180.535000000003</v>
      </c>
      <c r="P96" s="220">
        <f>L96*(1-M96)^(2025-G96)</f>
        <v>8319.4649999999965</v>
      </c>
      <c r="Q96" s="215"/>
      <c r="R96" s="215"/>
      <c r="S96" s="215" t="s">
        <v>250</v>
      </c>
      <c r="T96" s="215" t="s">
        <v>139</v>
      </c>
      <c r="U96" s="215" t="s">
        <v>194</v>
      </c>
    </row>
    <row r="97" spans="1:21">
      <c r="A97" s="214"/>
      <c r="B97" s="230" t="s">
        <v>483</v>
      </c>
      <c r="C97" s="215" t="s">
        <v>131</v>
      </c>
      <c r="D97" s="243" t="s">
        <v>511</v>
      </c>
      <c r="E97" s="217" t="s">
        <v>512</v>
      </c>
      <c r="F97" s="230" t="s">
        <v>513</v>
      </c>
      <c r="G97" s="228">
        <v>2020</v>
      </c>
      <c r="H97" s="215"/>
      <c r="I97" s="215" t="s">
        <v>137</v>
      </c>
      <c r="J97" s="215" t="s">
        <v>137</v>
      </c>
      <c r="K97" s="215">
        <v>2023</v>
      </c>
      <c r="L97" s="227">
        <v>281350</v>
      </c>
      <c r="M97" s="222">
        <v>0.3</v>
      </c>
      <c r="N97" s="220">
        <f>O97/(2025-G97)</f>
        <v>46812.701100000006</v>
      </c>
      <c r="O97" s="220">
        <f>L97-P97</f>
        <v>234063.50550000003</v>
      </c>
      <c r="P97" s="220">
        <f>L97*(1-M97)^(2025-G97)</f>
        <v>47286.494499999986</v>
      </c>
      <c r="Q97" s="215"/>
      <c r="R97" s="215"/>
      <c r="S97" s="215" t="s">
        <v>484</v>
      </c>
      <c r="T97" s="215" t="s">
        <v>139</v>
      </c>
      <c r="U97" s="215" t="s">
        <v>194</v>
      </c>
    </row>
    <row r="98" spans="1:21">
      <c r="A98" s="214"/>
      <c r="B98" s="230" t="s">
        <v>483</v>
      </c>
      <c r="C98" s="215" t="s">
        <v>131</v>
      </c>
      <c r="D98" s="243">
        <v>1419062733</v>
      </c>
      <c r="E98" s="217" t="s">
        <v>514</v>
      </c>
      <c r="F98" s="230" t="s">
        <v>515</v>
      </c>
      <c r="G98" s="228">
        <v>2020</v>
      </c>
      <c r="H98" s="215"/>
      <c r="I98" s="215" t="s">
        <v>137</v>
      </c>
      <c r="J98" s="215" t="s">
        <v>137</v>
      </c>
      <c r="K98" s="215">
        <v>2023</v>
      </c>
      <c r="L98" s="225">
        <v>435000</v>
      </c>
      <c r="M98" s="222">
        <v>0.3</v>
      </c>
      <c r="N98" s="220">
        <f>O98/(2025-G98)</f>
        <v>72377.91</v>
      </c>
      <c r="O98" s="220">
        <f>L98-P98</f>
        <v>361889.55000000005</v>
      </c>
      <c r="P98" s="220">
        <f>L98*(1-M98)^(2025-G98)</f>
        <v>73110.449999999968</v>
      </c>
      <c r="Q98" s="215"/>
      <c r="R98" s="215"/>
      <c r="S98" s="215" t="s">
        <v>484</v>
      </c>
      <c r="T98" s="215" t="s">
        <v>139</v>
      </c>
      <c r="U98" s="215" t="s">
        <v>194</v>
      </c>
    </row>
    <row r="99" spans="1:21">
      <c r="A99" s="248"/>
      <c r="B99" s="230" t="s">
        <v>483</v>
      </c>
      <c r="C99" s="217" t="s">
        <v>131</v>
      </c>
      <c r="D99" s="246" t="s">
        <v>516</v>
      </c>
      <c r="E99" s="217"/>
      <c r="F99" s="244" t="s">
        <v>517</v>
      </c>
      <c r="G99" s="233">
        <v>2011</v>
      </c>
      <c r="H99" s="217"/>
      <c r="I99" s="217" t="s">
        <v>137</v>
      </c>
      <c r="J99" s="217" t="s">
        <v>359</v>
      </c>
      <c r="K99" s="217">
        <v>2014</v>
      </c>
      <c r="L99" s="225">
        <v>1</v>
      </c>
      <c r="M99" s="249">
        <v>0.3</v>
      </c>
      <c r="N99" s="220">
        <f>O99/(2025-G99)</f>
        <v>7.0944126376536423E-2</v>
      </c>
      <c r="O99" s="220">
        <f>L99-P99</f>
        <v>0.99321776927150995</v>
      </c>
      <c r="P99" s="220">
        <f>L99*(1-M99)^(2025-G99)</f>
        <v>6.7822307284899925E-3</v>
      </c>
      <c r="Q99" s="217"/>
      <c r="R99" s="217"/>
      <c r="S99" s="217" t="s">
        <v>420</v>
      </c>
      <c r="T99" s="217" t="s">
        <v>139</v>
      </c>
      <c r="U99" s="217" t="s">
        <v>194</v>
      </c>
    </row>
    <row r="100" spans="1:21">
      <c r="A100" s="214"/>
      <c r="B100" s="230" t="s">
        <v>483</v>
      </c>
      <c r="C100" s="215" t="s">
        <v>131</v>
      </c>
      <c r="D100" s="243" t="s">
        <v>518</v>
      </c>
      <c r="E100" s="217" t="s">
        <v>519</v>
      </c>
      <c r="F100" s="230" t="s">
        <v>513</v>
      </c>
      <c r="G100" s="228">
        <v>2020</v>
      </c>
      <c r="H100" s="215"/>
      <c r="I100" s="215" t="s">
        <v>137</v>
      </c>
      <c r="J100" s="215" t="s">
        <v>189</v>
      </c>
      <c r="K100" s="215">
        <v>2023</v>
      </c>
      <c r="L100" s="227">
        <v>281350</v>
      </c>
      <c r="M100" s="222">
        <v>0.3</v>
      </c>
      <c r="N100" s="220">
        <f>O100/(2025-G100)</f>
        <v>46812.701100000006</v>
      </c>
      <c r="O100" s="220">
        <f>L100-P100</f>
        <v>234063.50550000003</v>
      </c>
      <c r="P100" s="220">
        <f>L100*(1-M100)^(2025-G100)</f>
        <v>47286.494499999986</v>
      </c>
      <c r="Q100" s="215"/>
      <c r="R100" s="215"/>
      <c r="S100" s="215" t="s">
        <v>417</v>
      </c>
      <c r="T100" s="215" t="s">
        <v>139</v>
      </c>
      <c r="U100" s="215" t="s">
        <v>194</v>
      </c>
    </row>
    <row r="101" spans="1:21">
      <c r="A101" s="214"/>
      <c r="B101" s="230" t="s">
        <v>483</v>
      </c>
      <c r="C101" s="215" t="s">
        <v>131</v>
      </c>
      <c r="D101" s="241" t="s">
        <v>500</v>
      </c>
      <c r="E101" s="217" t="s">
        <v>520</v>
      </c>
      <c r="F101" s="244" t="s">
        <v>501</v>
      </c>
      <c r="G101" s="228">
        <v>2010</v>
      </c>
      <c r="H101" s="215"/>
      <c r="I101" s="215" t="s">
        <v>137</v>
      </c>
      <c r="J101" s="215" t="s">
        <v>202</v>
      </c>
      <c r="K101" s="215">
        <v>2013</v>
      </c>
      <c r="L101" s="245">
        <v>27984</v>
      </c>
      <c r="M101" s="222">
        <v>0.3</v>
      </c>
      <c r="N101" s="220">
        <f>O101/(2025-G101)</f>
        <v>1856.7429492470503</v>
      </c>
      <c r="O101" s="220">
        <f>L101-P101</f>
        <v>27851.144238705754</v>
      </c>
      <c r="P101" s="220">
        <f>L101*(1-M101)^(2025-G101)</f>
        <v>132.85576129424476</v>
      </c>
      <c r="Q101" s="215"/>
      <c r="R101" s="215"/>
      <c r="S101" s="215" t="s">
        <v>366</v>
      </c>
      <c r="T101" s="215" t="s">
        <v>139</v>
      </c>
      <c r="U101" s="215" t="s">
        <v>194</v>
      </c>
    </row>
    <row r="102" spans="1:21" ht="27.6">
      <c r="A102" s="214"/>
      <c r="B102" s="230" t="s">
        <v>483</v>
      </c>
      <c r="C102" s="215" t="s">
        <v>131</v>
      </c>
      <c r="D102" s="243" t="s">
        <v>521</v>
      </c>
      <c r="E102" s="217" t="s">
        <v>522</v>
      </c>
      <c r="F102" s="230" t="s">
        <v>513</v>
      </c>
      <c r="G102" s="228">
        <v>2020</v>
      </c>
      <c r="H102" s="215"/>
      <c r="I102" s="215" t="s">
        <v>137</v>
      </c>
      <c r="J102" s="215" t="s">
        <v>202</v>
      </c>
      <c r="K102" s="215">
        <v>2013</v>
      </c>
      <c r="L102" s="227">
        <v>281350</v>
      </c>
      <c r="M102" s="222">
        <v>0.3</v>
      </c>
      <c r="N102" s="220">
        <f>O102/(2025-G102)</f>
        <v>46812.701100000006</v>
      </c>
      <c r="O102" s="220">
        <f>L102-P102</f>
        <v>234063.50550000003</v>
      </c>
      <c r="P102" s="220">
        <f>L102*(1-M102)^(2025-G102)</f>
        <v>47286.494499999986</v>
      </c>
      <c r="Q102" s="215"/>
      <c r="R102" s="215"/>
      <c r="S102" s="215" t="s">
        <v>369</v>
      </c>
      <c r="T102" s="215" t="s">
        <v>139</v>
      </c>
      <c r="U102" s="215" t="s">
        <v>194</v>
      </c>
    </row>
    <row r="103" spans="1:21">
      <c r="A103" s="214"/>
      <c r="B103" s="230" t="s">
        <v>483</v>
      </c>
      <c r="C103" s="215" t="s">
        <v>131</v>
      </c>
      <c r="D103" s="243" t="s">
        <v>523</v>
      </c>
      <c r="E103" s="217" t="s">
        <v>524</v>
      </c>
      <c r="F103" s="230" t="s">
        <v>513</v>
      </c>
      <c r="G103" s="228">
        <v>2020</v>
      </c>
      <c r="H103" s="215"/>
      <c r="I103" s="215" t="s">
        <v>137</v>
      </c>
      <c r="J103" s="215" t="s">
        <v>208</v>
      </c>
      <c r="K103" s="215">
        <v>2013</v>
      </c>
      <c r="L103" s="227">
        <v>281350</v>
      </c>
      <c r="M103" s="222">
        <v>0.3</v>
      </c>
      <c r="N103" s="220">
        <f>O103/(2025-G103)</f>
        <v>46812.701100000006</v>
      </c>
      <c r="O103" s="220">
        <f>L103-P103</f>
        <v>234063.50550000003</v>
      </c>
      <c r="P103" s="220">
        <f>L103*(1-M103)^(2025-G103)</f>
        <v>47286.494499999986</v>
      </c>
      <c r="Q103" s="215"/>
      <c r="R103" s="215"/>
      <c r="S103" s="215" t="s">
        <v>375</v>
      </c>
      <c r="T103" s="215" t="s">
        <v>139</v>
      </c>
      <c r="U103" s="215" t="s">
        <v>194</v>
      </c>
    </row>
    <row r="104" spans="1:21">
      <c r="A104" s="214"/>
      <c r="B104" s="230" t="s">
        <v>483</v>
      </c>
      <c r="C104" s="215" t="s">
        <v>131</v>
      </c>
      <c r="D104" s="243" t="s">
        <v>525</v>
      </c>
      <c r="E104" s="217" t="s">
        <v>526</v>
      </c>
      <c r="F104" s="230" t="s">
        <v>513</v>
      </c>
      <c r="G104" s="228">
        <v>2020</v>
      </c>
      <c r="H104" s="215"/>
      <c r="I104" s="215" t="s">
        <v>137</v>
      </c>
      <c r="J104" s="215" t="s">
        <v>378</v>
      </c>
      <c r="K104" s="215">
        <v>2013</v>
      </c>
      <c r="L104" s="227">
        <v>281350</v>
      </c>
      <c r="M104" s="222">
        <v>0.3</v>
      </c>
      <c r="N104" s="220">
        <f>O104/(2025-G104)</f>
        <v>46812.701100000006</v>
      </c>
      <c r="O104" s="220">
        <f>L104-P104</f>
        <v>234063.50550000003</v>
      </c>
      <c r="P104" s="220">
        <f>L104*(1-M104)^(2025-G104)</f>
        <v>47286.494499999986</v>
      </c>
      <c r="Q104" s="215"/>
      <c r="R104" s="215"/>
      <c r="S104" s="215" t="s">
        <v>424</v>
      </c>
      <c r="T104" s="215" t="s">
        <v>139</v>
      </c>
      <c r="U104" s="215" t="s">
        <v>194</v>
      </c>
    </row>
    <row r="105" spans="1:21">
      <c r="A105" s="214"/>
      <c r="B105" s="233" t="s">
        <v>527</v>
      </c>
      <c r="C105" s="215" t="s">
        <v>131</v>
      </c>
      <c r="D105" s="246" t="s">
        <v>528</v>
      </c>
      <c r="E105" s="217" t="s">
        <v>529</v>
      </c>
      <c r="F105" s="250" t="s">
        <v>530</v>
      </c>
      <c r="G105" s="233">
        <v>2014</v>
      </c>
      <c r="H105" s="215"/>
      <c r="I105" s="215" t="s">
        <v>137</v>
      </c>
      <c r="J105" s="215" t="s">
        <v>137</v>
      </c>
      <c r="K105" s="215">
        <v>2017</v>
      </c>
      <c r="L105" s="227">
        <v>250000</v>
      </c>
      <c r="M105" s="222">
        <v>0.3</v>
      </c>
      <c r="N105" s="220">
        <f>O105/(2025-G105)</f>
        <v>22277.880285681818</v>
      </c>
      <c r="O105" s="220">
        <f>L105-P105</f>
        <v>245056.6831425</v>
      </c>
      <c r="P105" s="220">
        <f>L105*(1-M105)^(2025-G105)</f>
        <v>4943.3168574999963</v>
      </c>
      <c r="Q105" s="215"/>
      <c r="R105" s="215"/>
      <c r="S105" s="215" t="s">
        <v>484</v>
      </c>
      <c r="T105" s="215" t="s">
        <v>139</v>
      </c>
      <c r="U105" s="215" t="s">
        <v>194</v>
      </c>
    </row>
    <row r="106" spans="1:21">
      <c r="A106" s="214"/>
      <c r="B106" s="233" t="s">
        <v>527</v>
      </c>
      <c r="C106" s="215" t="s">
        <v>131</v>
      </c>
      <c r="D106" s="251" t="s">
        <v>531</v>
      </c>
      <c r="E106" s="217" t="s">
        <v>532</v>
      </c>
      <c r="F106" s="252" t="s">
        <v>533</v>
      </c>
      <c r="G106" s="223">
        <v>2008</v>
      </c>
      <c r="H106" s="215"/>
      <c r="I106" s="215" t="s">
        <v>137</v>
      </c>
      <c r="J106" s="215" t="s">
        <v>137</v>
      </c>
      <c r="K106" s="215">
        <v>2011</v>
      </c>
      <c r="L106" s="227">
        <v>265000</v>
      </c>
      <c r="M106" s="222">
        <v>0.3</v>
      </c>
      <c r="N106" s="220">
        <f>O106/(2025-G106)</f>
        <v>15551.972302231407</v>
      </c>
      <c r="O106" s="220">
        <f>L106-P106</f>
        <v>264383.52913793392</v>
      </c>
      <c r="P106" s="220">
        <f>L106*(1-M106)^(2025-G106)</f>
        <v>616.47086206609777</v>
      </c>
      <c r="Q106" s="215"/>
      <c r="R106" s="215"/>
      <c r="S106" s="215" t="s">
        <v>484</v>
      </c>
      <c r="T106" s="215" t="s">
        <v>139</v>
      </c>
      <c r="U106" s="215" t="s">
        <v>194</v>
      </c>
    </row>
    <row r="107" spans="1:21" ht="27.6">
      <c r="A107" s="214"/>
      <c r="B107" s="233" t="s">
        <v>527</v>
      </c>
      <c r="C107" s="215" t="s">
        <v>131</v>
      </c>
      <c r="D107" s="253" t="s">
        <v>534</v>
      </c>
      <c r="E107" s="217"/>
      <c r="F107" s="252" t="s">
        <v>535</v>
      </c>
      <c r="G107" s="223">
        <v>2008</v>
      </c>
      <c r="H107" s="215"/>
      <c r="I107" s="215" t="s">
        <v>137</v>
      </c>
      <c r="J107" s="215" t="s">
        <v>137</v>
      </c>
      <c r="K107" s="215">
        <v>2011</v>
      </c>
      <c r="L107" s="227">
        <v>265000</v>
      </c>
      <c r="M107" s="222">
        <v>0.3</v>
      </c>
      <c r="N107" s="220">
        <f>O107/(2025-G107)</f>
        <v>15551.972302231407</v>
      </c>
      <c r="O107" s="220">
        <f>L107-P107</f>
        <v>264383.52913793392</v>
      </c>
      <c r="P107" s="220">
        <f>L107*(1-M107)^(2025-G107)</f>
        <v>616.47086206609777</v>
      </c>
      <c r="Q107" s="215"/>
      <c r="R107" s="215"/>
      <c r="S107" s="215" t="s">
        <v>250</v>
      </c>
      <c r="T107" s="215" t="s">
        <v>139</v>
      </c>
      <c r="U107" s="215" t="s">
        <v>194</v>
      </c>
    </row>
    <row r="108" spans="1:21">
      <c r="A108" s="214"/>
      <c r="B108" s="233" t="s">
        <v>527</v>
      </c>
      <c r="C108" s="215" t="s">
        <v>131</v>
      </c>
      <c r="D108" s="246" t="s">
        <v>536</v>
      </c>
      <c r="E108" s="217" t="s">
        <v>537</v>
      </c>
      <c r="F108" s="250" t="s">
        <v>538</v>
      </c>
      <c r="G108" s="233">
        <v>2021</v>
      </c>
      <c r="H108" s="215"/>
      <c r="I108" s="215" t="s">
        <v>137</v>
      </c>
      <c r="J108" s="215" t="s">
        <v>137</v>
      </c>
      <c r="K108" s="215">
        <v>2024</v>
      </c>
      <c r="L108" s="227">
        <v>265000</v>
      </c>
      <c r="M108" s="222">
        <v>0.3</v>
      </c>
      <c r="N108" s="220">
        <f>O108/(2025-G108)</f>
        <v>50343.375000000007</v>
      </c>
      <c r="O108" s="220">
        <f>L108-P108</f>
        <v>201373.50000000003</v>
      </c>
      <c r="P108" s="220">
        <f>L108*(1-M108)^(2025-G108)</f>
        <v>63626.499999999978</v>
      </c>
      <c r="Q108" s="215"/>
      <c r="R108" s="215"/>
      <c r="S108" s="215" t="s">
        <v>484</v>
      </c>
      <c r="T108" s="215" t="s">
        <v>139</v>
      </c>
      <c r="U108" s="215" t="s">
        <v>194</v>
      </c>
    </row>
    <row r="109" spans="1:21">
      <c r="A109" s="214"/>
      <c r="B109" s="233" t="s">
        <v>527</v>
      </c>
      <c r="C109" s="215" t="s">
        <v>131</v>
      </c>
      <c r="D109" s="246" t="s">
        <v>539</v>
      </c>
      <c r="E109" s="217" t="s">
        <v>540</v>
      </c>
      <c r="F109" s="250" t="s">
        <v>541</v>
      </c>
      <c r="G109" s="233">
        <v>2021</v>
      </c>
      <c r="H109" s="215"/>
      <c r="I109" s="215" t="s">
        <v>137</v>
      </c>
      <c r="J109" s="215" t="s">
        <v>137</v>
      </c>
      <c r="K109" s="215">
        <v>2024</v>
      </c>
      <c r="L109" s="227">
        <v>265000</v>
      </c>
      <c r="M109" s="222">
        <v>0.3</v>
      </c>
      <c r="N109" s="220">
        <f>O109/(2025-G109)</f>
        <v>50343.375000000007</v>
      </c>
      <c r="O109" s="220">
        <f>L109-P109</f>
        <v>201373.50000000003</v>
      </c>
      <c r="P109" s="220">
        <f>L109*(1-M109)^(2025-G109)</f>
        <v>63626.499999999978</v>
      </c>
      <c r="Q109" s="215"/>
      <c r="R109" s="215"/>
      <c r="S109" s="215" t="s">
        <v>484</v>
      </c>
      <c r="T109" s="215" t="s">
        <v>139</v>
      </c>
      <c r="U109" s="215" t="s">
        <v>194</v>
      </c>
    </row>
    <row r="110" spans="1:21">
      <c r="A110" s="214"/>
      <c r="B110" s="233" t="s">
        <v>542</v>
      </c>
      <c r="C110" s="215" t="s">
        <v>131</v>
      </c>
      <c r="D110" s="243" t="s">
        <v>543</v>
      </c>
      <c r="E110" s="217" t="s">
        <v>544</v>
      </c>
      <c r="F110" s="230" t="s">
        <v>545</v>
      </c>
      <c r="G110" s="233">
        <v>2015</v>
      </c>
      <c r="H110" s="215"/>
      <c r="I110" s="215" t="s">
        <v>137</v>
      </c>
      <c r="J110" s="215" t="s">
        <v>137</v>
      </c>
      <c r="K110" s="215">
        <v>2018</v>
      </c>
      <c r="L110" s="254">
        <v>150000</v>
      </c>
      <c r="M110" s="222">
        <v>0.3</v>
      </c>
      <c r="N110" s="220">
        <f>O110/(2025-G110)</f>
        <v>14576.287126499999</v>
      </c>
      <c r="O110" s="220">
        <f>L110-P110</f>
        <v>145762.87126499999</v>
      </c>
      <c r="P110" s="220">
        <f>L110*(1-M110)^(2025-G110)</f>
        <v>4237.1287349999975</v>
      </c>
      <c r="Q110" s="215"/>
      <c r="R110" s="215"/>
      <c r="S110" s="215" t="s">
        <v>484</v>
      </c>
      <c r="T110" s="215" t="s">
        <v>139</v>
      </c>
      <c r="U110" s="215" t="s">
        <v>194</v>
      </c>
    </row>
    <row r="111" spans="1:21">
      <c r="A111" s="214"/>
      <c r="B111" s="233" t="s">
        <v>546</v>
      </c>
      <c r="C111" s="215" t="s">
        <v>131</v>
      </c>
      <c r="D111" s="243" t="s">
        <v>547</v>
      </c>
      <c r="E111" s="217" t="s">
        <v>548</v>
      </c>
      <c r="F111" s="230" t="s">
        <v>549</v>
      </c>
      <c r="G111" s="233">
        <v>2021</v>
      </c>
      <c r="H111" s="215"/>
      <c r="I111" s="215" t="s">
        <v>137</v>
      </c>
      <c r="J111" s="215" t="s">
        <v>137</v>
      </c>
      <c r="K111" s="215">
        <v>2024</v>
      </c>
      <c r="L111" s="254">
        <v>1</v>
      </c>
      <c r="M111" s="222">
        <v>0.3</v>
      </c>
      <c r="N111" s="220">
        <f>O111/(2025-G111)</f>
        <v>0.189975</v>
      </c>
      <c r="O111" s="220">
        <f>L111-P111</f>
        <v>0.75990000000000002</v>
      </c>
      <c r="P111" s="220">
        <f>L111*(1-M111)^(2025-G111)</f>
        <v>0.24009999999999992</v>
      </c>
      <c r="Q111" s="215"/>
      <c r="R111" s="215"/>
      <c r="S111" s="215" t="s">
        <v>484</v>
      </c>
      <c r="T111" s="215" t="s">
        <v>139</v>
      </c>
      <c r="U111" s="215" t="s">
        <v>194</v>
      </c>
    </row>
    <row r="112" spans="1:21">
      <c r="A112" s="214"/>
      <c r="B112" s="233" t="s">
        <v>550</v>
      </c>
      <c r="C112" s="215" t="s">
        <v>131</v>
      </c>
      <c r="D112" s="246" t="s">
        <v>551</v>
      </c>
      <c r="E112" s="217"/>
      <c r="F112" s="230" t="s">
        <v>552</v>
      </c>
      <c r="G112" s="228">
        <v>2010</v>
      </c>
      <c r="H112" s="215"/>
      <c r="I112" s="215" t="s">
        <v>137</v>
      </c>
      <c r="J112" s="215" t="s">
        <v>137</v>
      </c>
      <c r="K112" s="215">
        <v>2013</v>
      </c>
      <c r="L112" s="255">
        <v>147168</v>
      </c>
      <c r="M112" s="222">
        <v>0.3</v>
      </c>
      <c r="N112" s="220">
        <f>O112/(2025-G112)</f>
        <v>9764.6207245136484</v>
      </c>
      <c r="O112" s="220">
        <f>L112-P112</f>
        <v>146469.31086770471</v>
      </c>
      <c r="P112" s="220">
        <f>L112*(1-M112)^(2025-G112)</f>
        <v>698.68913229529051</v>
      </c>
      <c r="Q112" s="215"/>
      <c r="R112" s="215"/>
      <c r="S112" s="215" t="s">
        <v>484</v>
      </c>
      <c r="T112" s="215" t="s">
        <v>139</v>
      </c>
      <c r="U112" s="215" t="s">
        <v>194</v>
      </c>
    </row>
    <row r="113" spans="1:21">
      <c r="A113" s="214"/>
      <c r="B113" s="233" t="s">
        <v>550</v>
      </c>
      <c r="C113" s="215" t="s">
        <v>131</v>
      </c>
      <c r="D113" s="246">
        <v>0</v>
      </c>
      <c r="E113" s="217"/>
      <c r="F113" s="230" t="s">
        <v>552</v>
      </c>
      <c r="G113" s="228">
        <v>2010</v>
      </c>
      <c r="H113" s="215"/>
      <c r="I113" s="215" t="s">
        <v>137</v>
      </c>
      <c r="J113" s="215" t="s">
        <v>189</v>
      </c>
      <c r="K113" s="215">
        <v>2013</v>
      </c>
      <c r="L113" s="255">
        <v>147168</v>
      </c>
      <c r="M113" s="222">
        <v>0.3</v>
      </c>
      <c r="N113" s="220">
        <f>O113/(2025-G113)</f>
        <v>9764.6207245136484</v>
      </c>
      <c r="O113" s="220">
        <f>L113-P113</f>
        <v>146469.31086770471</v>
      </c>
      <c r="P113" s="220">
        <f>L113*(1-M113)^(2025-G113)</f>
        <v>698.68913229529051</v>
      </c>
      <c r="Q113" s="215"/>
      <c r="R113" s="215"/>
      <c r="S113" s="215" t="s">
        <v>484</v>
      </c>
      <c r="T113" s="215" t="s">
        <v>139</v>
      </c>
      <c r="U113" s="215" t="s">
        <v>194</v>
      </c>
    </row>
    <row r="114" spans="1:21">
      <c r="A114" s="214"/>
      <c r="B114" s="233" t="s">
        <v>550</v>
      </c>
      <c r="C114" s="215" t="s">
        <v>131</v>
      </c>
      <c r="D114" s="246">
        <v>0</v>
      </c>
      <c r="E114" s="217"/>
      <c r="F114" s="230" t="s">
        <v>552</v>
      </c>
      <c r="G114" s="233">
        <v>2021</v>
      </c>
      <c r="H114" s="215"/>
      <c r="I114" s="215" t="s">
        <v>137</v>
      </c>
      <c r="J114" s="215" t="s">
        <v>202</v>
      </c>
      <c r="K114" s="215">
        <v>2013</v>
      </c>
      <c r="L114" s="255">
        <v>147168</v>
      </c>
      <c r="M114" s="222">
        <v>0.3</v>
      </c>
      <c r="N114" s="220">
        <f>O114/(2025-G114)</f>
        <v>27958.240800000003</v>
      </c>
      <c r="O114" s="220">
        <f>L114-P114</f>
        <v>111832.96320000001</v>
      </c>
      <c r="P114" s="220">
        <f>L114*(1-M114)^(2025-G114)</f>
        <v>35335.036799999987</v>
      </c>
      <c r="Q114" s="215"/>
      <c r="R114" s="215"/>
      <c r="S114" s="215" t="s">
        <v>484</v>
      </c>
      <c r="T114" s="215" t="s">
        <v>139</v>
      </c>
      <c r="U114" s="215" t="s">
        <v>194</v>
      </c>
    </row>
    <row r="115" spans="1:21" ht="27.6">
      <c r="A115" s="214"/>
      <c r="B115" s="223" t="s">
        <v>553</v>
      </c>
      <c r="C115" s="215" t="s">
        <v>131</v>
      </c>
      <c r="D115" s="251" t="s">
        <v>554</v>
      </c>
      <c r="E115" s="217"/>
      <c r="F115" s="252" t="s">
        <v>555</v>
      </c>
      <c r="G115" s="233">
        <v>2021</v>
      </c>
      <c r="H115" s="215"/>
      <c r="I115" s="215" t="s">
        <v>137</v>
      </c>
      <c r="J115" s="215" t="s">
        <v>137</v>
      </c>
      <c r="K115" s="215">
        <v>0</v>
      </c>
      <c r="L115" s="255">
        <v>1</v>
      </c>
      <c r="M115" s="222">
        <v>0.3</v>
      </c>
      <c r="N115" s="220">
        <f t="shared" ref="N115:N178" si="0">O115/(2025-G115)</f>
        <v>0.189975</v>
      </c>
      <c r="O115" s="220">
        <f t="shared" ref="O115:O178" si="1">L115-P115</f>
        <v>0.75990000000000002</v>
      </c>
      <c r="P115" s="220">
        <f t="shared" ref="P115:P178" si="2">L115*(1-M115)^(2025-G115)</f>
        <v>0.24009999999999992</v>
      </c>
      <c r="Q115" s="215"/>
      <c r="R115" s="215"/>
      <c r="S115" s="215" t="s">
        <v>484</v>
      </c>
      <c r="T115" s="215" t="s">
        <v>139</v>
      </c>
      <c r="U115" s="215" t="s">
        <v>194</v>
      </c>
    </row>
    <row r="116" spans="1:21" ht="27.6">
      <c r="A116" s="214"/>
      <c r="B116" s="223" t="s">
        <v>553</v>
      </c>
      <c r="C116" s="215" t="s">
        <v>131</v>
      </c>
      <c r="D116" s="251" t="s">
        <v>556</v>
      </c>
      <c r="E116" s="217"/>
      <c r="F116" s="252" t="s">
        <v>557</v>
      </c>
      <c r="G116" s="233">
        <v>2021</v>
      </c>
      <c r="H116" s="215"/>
      <c r="I116" s="215" t="s">
        <v>137</v>
      </c>
      <c r="J116" s="215" t="s">
        <v>137</v>
      </c>
      <c r="K116" s="215">
        <v>0</v>
      </c>
      <c r="L116" s="255">
        <v>1</v>
      </c>
      <c r="M116" s="222">
        <v>0.3</v>
      </c>
      <c r="N116" s="220">
        <f t="shared" si="0"/>
        <v>0.189975</v>
      </c>
      <c r="O116" s="220">
        <f t="shared" si="1"/>
        <v>0.75990000000000002</v>
      </c>
      <c r="P116" s="220">
        <f t="shared" si="2"/>
        <v>0.24009999999999992</v>
      </c>
      <c r="Q116" s="215"/>
      <c r="R116" s="215"/>
      <c r="S116" s="215" t="s">
        <v>484</v>
      </c>
      <c r="T116" s="215" t="s">
        <v>139</v>
      </c>
      <c r="U116" s="215" t="s">
        <v>194</v>
      </c>
    </row>
    <row r="117" spans="1:21" ht="27.6">
      <c r="A117" s="214"/>
      <c r="B117" s="223" t="s">
        <v>553</v>
      </c>
      <c r="C117" s="215" t="s">
        <v>131</v>
      </c>
      <c r="D117" s="251" t="s">
        <v>558</v>
      </c>
      <c r="E117" s="217"/>
      <c r="F117" s="252" t="s">
        <v>559</v>
      </c>
      <c r="G117" s="233">
        <v>2021</v>
      </c>
      <c r="H117" s="215"/>
      <c r="I117" s="215" t="s">
        <v>137</v>
      </c>
      <c r="J117" s="215" t="s">
        <v>137</v>
      </c>
      <c r="K117" s="215">
        <v>0</v>
      </c>
      <c r="L117" s="255">
        <v>1</v>
      </c>
      <c r="M117" s="222">
        <v>0.3</v>
      </c>
      <c r="N117" s="220">
        <f t="shared" si="0"/>
        <v>0.189975</v>
      </c>
      <c r="O117" s="220">
        <f t="shared" si="1"/>
        <v>0.75990000000000002</v>
      </c>
      <c r="P117" s="220">
        <f t="shared" si="2"/>
        <v>0.24009999999999992</v>
      </c>
      <c r="Q117" s="215"/>
      <c r="R117" s="215"/>
      <c r="S117" s="215" t="s">
        <v>484</v>
      </c>
      <c r="T117" s="215" t="s">
        <v>139</v>
      </c>
      <c r="U117" s="215" t="s">
        <v>194</v>
      </c>
    </row>
    <row r="118" spans="1:21" ht="27.6">
      <c r="A118" s="214"/>
      <c r="B118" s="223" t="s">
        <v>553</v>
      </c>
      <c r="C118" s="215" t="s">
        <v>131</v>
      </c>
      <c r="D118" s="246" t="s">
        <v>560</v>
      </c>
      <c r="E118" s="217"/>
      <c r="F118" s="250" t="s">
        <v>561</v>
      </c>
      <c r="G118" s="233">
        <v>2021</v>
      </c>
      <c r="H118" s="215"/>
      <c r="I118" s="215" t="s">
        <v>137</v>
      </c>
      <c r="J118" s="215" t="s">
        <v>137</v>
      </c>
      <c r="K118" s="215">
        <v>0</v>
      </c>
      <c r="L118" s="255">
        <v>400000</v>
      </c>
      <c r="M118" s="222">
        <v>0.3</v>
      </c>
      <c r="N118" s="220">
        <f t="shared" si="0"/>
        <v>75990</v>
      </c>
      <c r="O118" s="220">
        <f t="shared" si="1"/>
        <v>303960</v>
      </c>
      <c r="P118" s="220">
        <f t="shared" si="2"/>
        <v>96039.999999999971</v>
      </c>
      <c r="Q118" s="215"/>
      <c r="R118" s="215"/>
      <c r="S118" s="215" t="s">
        <v>484</v>
      </c>
      <c r="T118" s="215" t="s">
        <v>139</v>
      </c>
      <c r="U118" s="215" t="s">
        <v>194</v>
      </c>
    </row>
    <row r="119" spans="1:21">
      <c r="A119" s="214"/>
      <c r="B119" s="223" t="s">
        <v>553</v>
      </c>
      <c r="C119" s="215" t="s">
        <v>131</v>
      </c>
      <c r="D119" s="246">
        <v>0</v>
      </c>
      <c r="E119" s="217"/>
      <c r="F119" s="252" t="s">
        <v>562</v>
      </c>
      <c r="G119" s="233">
        <v>2021</v>
      </c>
      <c r="H119" s="215"/>
      <c r="I119" s="215" t="s">
        <v>137</v>
      </c>
      <c r="J119" s="215" t="s">
        <v>189</v>
      </c>
      <c r="K119" s="215">
        <v>0</v>
      </c>
      <c r="L119" s="255">
        <v>1</v>
      </c>
      <c r="M119" s="222">
        <v>0.3</v>
      </c>
      <c r="N119" s="220">
        <f t="shared" si="0"/>
        <v>0.189975</v>
      </c>
      <c r="O119" s="220">
        <f t="shared" si="1"/>
        <v>0.75990000000000002</v>
      </c>
      <c r="P119" s="220">
        <f t="shared" si="2"/>
        <v>0.24009999999999992</v>
      </c>
      <c r="Q119" s="215"/>
      <c r="R119" s="215"/>
      <c r="S119" s="215" t="s">
        <v>484</v>
      </c>
      <c r="T119" s="215" t="s">
        <v>139</v>
      </c>
      <c r="U119" s="215" t="s">
        <v>194</v>
      </c>
    </row>
    <row r="120" spans="1:21">
      <c r="A120" s="214"/>
      <c r="B120" s="223" t="s">
        <v>553</v>
      </c>
      <c r="C120" s="215" t="s">
        <v>131</v>
      </c>
      <c r="D120" s="246">
        <v>0</v>
      </c>
      <c r="E120" s="217"/>
      <c r="F120" s="252" t="s">
        <v>563</v>
      </c>
      <c r="G120" s="233">
        <v>2021</v>
      </c>
      <c r="H120" s="215"/>
      <c r="I120" s="215" t="s">
        <v>137</v>
      </c>
      <c r="J120" s="215" t="s">
        <v>202</v>
      </c>
      <c r="K120" s="215">
        <v>0</v>
      </c>
      <c r="L120" s="255">
        <v>1</v>
      </c>
      <c r="M120" s="222">
        <v>0.3</v>
      </c>
      <c r="N120" s="220">
        <f t="shared" si="0"/>
        <v>0.189975</v>
      </c>
      <c r="O120" s="220">
        <f t="shared" si="1"/>
        <v>0.75990000000000002</v>
      </c>
      <c r="P120" s="220">
        <f t="shared" si="2"/>
        <v>0.24009999999999992</v>
      </c>
      <c r="Q120" s="215"/>
      <c r="R120" s="215"/>
      <c r="S120" s="215" t="s">
        <v>484</v>
      </c>
      <c r="T120" s="215" t="s">
        <v>139</v>
      </c>
      <c r="U120" s="215" t="s">
        <v>194</v>
      </c>
    </row>
    <row r="121" spans="1:21" ht="27.6">
      <c r="A121" s="214"/>
      <c r="B121" s="223" t="s">
        <v>553</v>
      </c>
      <c r="C121" s="215" t="s">
        <v>131</v>
      </c>
      <c r="D121" s="246">
        <v>0</v>
      </c>
      <c r="E121" s="217"/>
      <c r="F121" s="250" t="s">
        <v>559</v>
      </c>
      <c r="G121" s="233">
        <v>2021</v>
      </c>
      <c r="H121" s="215"/>
      <c r="I121" s="215" t="s">
        <v>137</v>
      </c>
      <c r="J121" s="215" t="s">
        <v>137</v>
      </c>
      <c r="K121" s="215">
        <v>0</v>
      </c>
      <c r="L121" s="255">
        <v>1</v>
      </c>
      <c r="M121" s="222">
        <v>0.3</v>
      </c>
      <c r="N121" s="220">
        <f t="shared" si="0"/>
        <v>0.189975</v>
      </c>
      <c r="O121" s="220">
        <f t="shared" si="1"/>
        <v>0.75990000000000002</v>
      </c>
      <c r="P121" s="220">
        <f t="shared" si="2"/>
        <v>0.24009999999999992</v>
      </c>
      <c r="Q121" s="215"/>
      <c r="R121" s="215"/>
      <c r="S121" s="215" t="s">
        <v>484</v>
      </c>
      <c r="T121" s="215" t="s">
        <v>139</v>
      </c>
      <c r="U121" s="215" t="s">
        <v>194</v>
      </c>
    </row>
    <row r="122" spans="1:21">
      <c r="A122" s="214"/>
      <c r="B122" s="223" t="s">
        <v>553</v>
      </c>
      <c r="C122" s="215" t="s">
        <v>131</v>
      </c>
      <c r="D122" s="246" t="s">
        <v>564</v>
      </c>
      <c r="E122" s="217" t="s">
        <v>565</v>
      </c>
      <c r="F122" s="250" t="s">
        <v>566</v>
      </c>
      <c r="G122" s="233">
        <v>2021</v>
      </c>
      <c r="H122" s="215"/>
      <c r="I122" s="215" t="s">
        <v>137</v>
      </c>
      <c r="J122" s="215" t="s">
        <v>137</v>
      </c>
      <c r="K122" s="215">
        <v>2024</v>
      </c>
      <c r="L122" s="255">
        <v>1</v>
      </c>
      <c r="M122" s="222">
        <v>0.3</v>
      </c>
      <c r="N122" s="220">
        <f t="shared" si="0"/>
        <v>0.189975</v>
      </c>
      <c r="O122" s="220">
        <f t="shared" si="1"/>
        <v>0.75990000000000002</v>
      </c>
      <c r="P122" s="220">
        <f t="shared" si="2"/>
        <v>0.24009999999999992</v>
      </c>
      <c r="Q122" s="215"/>
      <c r="R122" s="215"/>
      <c r="S122" s="215" t="s">
        <v>484</v>
      </c>
      <c r="T122" s="215" t="s">
        <v>139</v>
      </c>
      <c r="U122" s="215" t="s">
        <v>194</v>
      </c>
    </row>
    <row r="123" spans="1:21">
      <c r="A123" s="214"/>
      <c r="B123" s="223" t="s">
        <v>553</v>
      </c>
      <c r="C123" s="215" t="s">
        <v>131</v>
      </c>
      <c r="D123" s="246" t="s">
        <v>567</v>
      </c>
      <c r="E123" s="217" t="s">
        <v>568</v>
      </c>
      <c r="F123" s="250" t="s">
        <v>566</v>
      </c>
      <c r="G123" s="233">
        <v>2021</v>
      </c>
      <c r="H123" s="215"/>
      <c r="I123" s="215" t="s">
        <v>137</v>
      </c>
      <c r="J123" s="215" t="s">
        <v>137</v>
      </c>
      <c r="K123" s="215">
        <v>2024</v>
      </c>
      <c r="L123" s="255">
        <v>1</v>
      </c>
      <c r="M123" s="222">
        <v>0.3</v>
      </c>
      <c r="N123" s="220">
        <f t="shared" si="0"/>
        <v>0.189975</v>
      </c>
      <c r="O123" s="220">
        <f t="shared" si="1"/>
        <v>0.75990000000000002</v>
      </c>
      <c r="P123" s="220">
        <f t="shared" si="2"/>
        <v>0.24009999999999992</v>
      </c>
      <c r="Q123" s="215"/>
      <c r="R123" s="215"/>
      <c r="S123" s="215" t="s">
        <v>484</v>
      </c>
      <c r="T123" s="215" t="s">
        <v>139</v>
      </c>
      <c r="U123" s="215" t="s">
        <v>194</v>
      </c>
    </row>
    <row r="124" spans="1:21">
      <c r="A124" s="214"/>
      <c r="B124" s="223" t="s">
        <v>553</v>
      </c>
      <c r="C124" s="215" t="s">
        <v>131</v>
      </c>
      <c r="D124" s="246" t="s">
        <v>569</v>
      </c>
      <c r="E124" s="217" t="s">
        <v>570</v>
      </c>
      <c r="F124" s="250" t="s">
        <v>571</v>
      </c>
      <c r="G124" s="233">
        <v>2021</v>
      </c>
      <c r="H124" s="215"/>
      <c r="I124" s="215" t="s">
        <v>137</v>
      </c>
      <c r="J124" s="215" t="s">
        <v>137</v>
      </c>
      <c r="K124" s="215">
        <v>2024</v>
      </c>
      <c r="L124" s="255">
        <v>1</v>
      </c>
      <c r="M124" s="222">
        <v>0.3</v>
      </c>
      <c r="N124" s="220">
        <f t="shared" si="0"/>
        <v>0.189975</v>
      </c>
      <c r="O124" s="220">
        <f t="shared" si="1"/>
        <v>0.75990000000000002</v>
      </c>
      <c r="P124" s="220">
        <f t="shared" si="2"/>
        <v>0.24009999999999992</v>
      </c>
      <c r="Q124" s="215"/>
      <c r="R124" s="215"/>
      <c r="S124" s="215" t="s">
        <v>484</v>
      </c>
      <c r="T124" s="215" t="s">
        <v>139</v>
      </c>
      <c r="U124" s="215" t="s">
        <v>194</v>
      </c>
    </row>
    <row r="125" spans="1:21">
      <c r="A125" s="214"/>
      <c r="B125" s="233" t="s">
        <v>572</v>
      </c>
      <c r="C125" s="215" t="s">
        <v>131</v>
      </c>
      <c r="D125" s="246" t="s">
        <v>573</v>
      </c>
      <c r="E125" s="217"/>
      <c r="F125" s="250" t="s">
        <v>574</v>
      </c>
      <c r="G125" s="233">
        <v>2015</v>
      </c>
      <c r="H125" s="215"/>
      <c r="I125" s="215" t="s">
        <v>137</v>
      </c>
      <c r="J125" s="215" t="s">
        <v>137</v>
      </c>
      <c r="K125" s="215">
        <v>2018</v>
      </c>
      <c r="L125" s="242">
        <v>42000</v>
      </c>
      <c r="M125" s="222">
        <v>0.3</v>
      </c>
      <c r="N125" s="220">
        <f t="shared" si="0"/>
        <v>4081.3603954199998</v>
      </c>
      <c r="O125" s="220">
        <f t="shared" si="1"/>
        <v>40813.6039542</v>
      </c>
      <c r="P125" s="220">
        <f t="shared" si="2"/>
        <v>1186.3960457999992</v>
      </c>
      <c r="Q125" s="215"/>
      <c r="R125" s="215"/>
      <c r="S125" s="215" t="s">
        <v>484</v>
      </c>
      <c r="T125" s="215" t="s">
        <v>139</v>
      </c>
      <c r="U125" s="215" t="s">
        <v>194</v>
      </c>
    </row>
    <row r="126" spans="1:21">
      <c r="A126" s="214"/>
      <c r="B126" s="233" t="s">
        <v>572</v>
      </c>
      <c r="C126" s="215" t="s">
        <v>131</v>
      </c>
      <c r="D126" s="246" t="s">
        <v>575</v>
      </c>
      <c r="E126" s="217" t="s">
        <v>576</v>
      </c>
      <c r="F126" s="250" t="s">
        <v>577</v>
      </c>
      <c r="G126" s="233">
        <v>2021</v>
      </c>
      <c r="H126" s="215"/>
      <c r="I126" s="215" t="s">
        <v>137</v>
      </c>
      <c r="J126" s="215" t="s">
        <v>137</v>
      </c>
      <c r="K126" s="215">
        <v>2024</v>
      </c>
      <c r="L126" s="242">
        <v>42000</v>
      </c>
      <c r="M126" s="222">
        <v>0.3</v>
      </c>
      <c r="N126" s="220">
        <f t="shared" si="0"/>
        <v>7978.9500000000007</v>
      </c>
      <c r="O126" s="220">
        <f t="shared" si="1"/>
        <v>31915.800000000003</v>
      </c>
      <c r="P126" s="220">
        <f t="shared" si="2"/>
        <v>10084.199999999997</v>
      </c>
      <c r="Q126" s="215"/>
      <c r="R126" s="215"/>
      <c r="S126" s="215" t="s">
        <v>484</v>
      </c>
      <c r="T126" s="215" t="s">
        <v>139</v>
      </c>
      <c r="U126" s="215" t="s">
        <v>194</v>
      </c>
    </row>
    <row r="127" spans="1:21">
      <c r="A127" s="214"/>
      <c r="B127" s="233" t="s">
        <v>572</v>
      </c>
      <c r="C127" s="215" t="s">
        <v>131</v>
      </c>
      <c r="D127" s="246">
        <v>0</v>
      </c>
      <c r="E127" s="217"/>
      <c r="F127" s="250" t="s">
        <v>577</v>
      </c>
      <c r="G127" s="233">
        <v>2021</v>
      </c>
      <c r="H127" s="215"/>
      <c r="I127" s="215" t="s">
        <v>137</v>
      </c>
      <c r="J127" s="215" t="s">
        <v>137</v>
      </c>
      <c r="K127" s="215">
        <v>2024</v>
      </c>
      <c r="L127" s="242">
        <v>42000</v>
      </c>
      <c r="M127" s="222">
        <v>0.3</v>
      </c>
      <c r="N127" s="220">
        <f t="shared" si="0"/>
        <v>7978.9500000000007</v>
      </c>
      <c r="O127" s="220">
        <f t="shared" si="1"/>
        <v>31915.800000000003</v>
      </c>
      <c r="P127" s="220">
        <f t="shared" si="2"/>
        <v>10084.199999999997</v>
      </c>
      <c r="Q127" s="215"/>
      <c r="R127" s="215"/>
      <c r="S127" s="215" t="s">
        <v>484</v>
      </c>
      <c r="T127" s="215" t="s">
        <v>139</v>
      </c>
      <c r="U127" s="215" t="s">
        <v>194</v>
      </c>
    </row>
    <row r="128" spans="1:21">
      <c r="A128" s="214"/>
      <c r="B128" s="233" t="s">
        <v>572</v>
      </c>
      <c r="C128" s="215" t="s">
        <v>131</v>
      </c>
      <c r="D128" s="246">
        <v>0</v>
      </c>
      <c r="E128" s="217"/>
      <c r="F128" s="250" t="s">
        <v>577</v>
      </c>
      <c r="G128" s="233">
        <v>2021</v>
      </c>
      <c r="H128" s="215"/>
      <c r="I128" s="215" t="s">
        <v>137</v>
      </c>
      <c r="J128" s="215" t="s">
        <v>137</v>
      </c>
      <c r="K128" s="215">
        <v>2024</v>
      </c>
      <c r="L128" s="242">
        <v>42000</v>
      </c>
      <c r="M128" s="222">
        <v>0.3</v>
      </c>
      <c r="N128" s="220">
        <f t="shared" si="0"/>
        <v>7978.9500000000007</v>
      </c>
      <c r="O128" s="220">
        <f t="shared" si="1"/>
        <v>31915.800000000003</v>
      </c>
      <c r="P128" s="220">
        <f t="shared" si="2"/>
        <v>10084.199999999997</v>
      </c>
      <c r="Q128" s="215"/>
      <c r="R128" s="215"/>
      <c r="S128" s="215" t="s">
        <v>484</v>
      </c>
      <c r="T128" s="215" t="s">
        <v>139</v>
      </c>
      <c r="U128" s="215" t="s">
        <v>194</v>
      </c>
    </row>
    <row r="129" spans="1:21">
      <c r="A129" s="214"/>
      <c r="B129" s="233" t="s">
        <v>572</v>
      </c>
      <c r="C129" s="215" t="s">
        <v>131</v>
      </c>
      <c r="D129" s="246">
        <v>0</v>
      </c>
      <c r="E129" s="217"/>
      <c r="F129" s="250" t="s">
        <v>577</v>
      </c>
      <c r="G129" s="233">
        <v>2021</v>
      </c>
      <c r="H129" s="215"/>
      <c r="I129" s="215" t="s">
        <v>137</v>
      </c>
      <c r="J129" s="215" t="s">
        <v>137</v>
      </c>
      <c r="K129" s="215">
        <v>2024</v>
      </c>
      <c r="L129" s="242">
        <v>42000</v>
      </c>
      <c r="M129" s="222">
        <v>0.3</v>
      </c>
      <c r="N129" s="220">
        <f t="shared" si="0"/>
        <v>7978.9500000000007</v>
      </c>
      <c r="O129" s="220">
        <f t="shared" si="1"/>
        <v>31915.800000000003</v>
      </c>
      <c r="P129" s="220">
        <f t="shared" si="2"/>
        <v>10084.199999999997</v>
      </c>
      <c r="Q129" s="215"/>
      <c r="R129" s="215"/>
      <c r="S129" s="215" t="s">
        <v>484</v>
      </c>
      <c r="T129" s="215" t="s">
        <v>139</v>
      </c>
      <c r="U129" s="215" t="s">
        <v>194</v>
      </c>
    </row>
    <row r="130" spans="1:21">
      <c r="A130" s="214"/>
      <c r="B130" s="233" t="s">
        <v>572</v>
      </c>
      <c r="C130" s="215" t="s">
        <v>131</v>
      </c>
      <c r="D130" s="246">
        <v>0</v>
      </c>
      <c r="E130" s="217"/>
      <c r="F130" s="250" t="s">
        <v>577</v>
      </c>
      <c r="G130" s="233">
        <v>2021</v>
      </c>
      <c r="H130" s="215"/>
      <c r="I130" s="215" t="s">
        <v>137</v>
      </c>
      <c r="J130" s="215" t="s">
        <v>137</v>
      </c>
      <c r="K130" s="215">
        <v>2024</v>
      </c>
      <c r="L130" s="242">
        <v>42000</v>
      </c>
      <c r="M130" s="222">
        <v>0.3</v>
      </c>
      <c r="N130" s="220">
        <f t="shared" si="0"/>
        <v>7978.9500000000007</v>
      </c>
      <c r="O130" s="220">
        <f t="shared" si="1"/>
        <v>31915.800000000003</v>
      </c>
      <c r="P130" s="220">
        <f t="shared" si="2"/>
        <v>10084.199999999997</v>
      </c>
      <c r="Q130" s="215"/>
      <c r="R130" s="215"/>
      <c r="S130" s="215" t="s">
        <v>484</v>
      </c>
      <c r="T130" s="215" t="s">
        <v>139</v>
      </c>
      <c r="U130" s="215" t="s">
        <v>194</v>
      </c>
    </row>
    <row r="131" spans="1:21">
      <c r="A131" s="214"/>
      <c r="B131" s="233" t="s">
        <v>572</v>
      </c>
      <c r="C131" s="215" t="s">
        <v>131</v>
      </c>
      <c r="D131" s="246">
        <v>0</v>
      </c>
      <c r="E131" s="217"/>
      <c r="F131" s="250" t="s">
        <v>577</v>
      </c>
      <c r="G131" s="233">
        <v>2021</v>
      </c>
      <c r="H131" s="215"/>
      <c r="I131" s="215" t="s">
        <v>137</v>
      </c>
      <c r="J131" s="215" t="s">
        <v>137</v>
      </c>
      <c r="K131" s="215">
        <v>2024</v>
      </c>
      <c r="L131" s="242">
        <v>42000</v>
      </c>
      <c r="M131" s="222">
        <v>0.3</v>
      </c>
      <c r="N131" s="220">
        <f t="shared" si="0"/>
        <v>7978.9500000000007</v>
      </c>
      <c r="O131" s="220">
        <f t="shared" si="1"/>
        <v>31915.800000000003</v>
      </c>
      <c r="P131" s="220">
        <f t="shared" si="2"/>
        <v>10084.199999999997</v>
      </c>
      <c r="Q131" s="215"/>
      <c r="R131" s="215"/>
      <c r="S131" s="215" t="s">
        <v>484</v>
      </c>
      <c r="T131" s="215" t="s">
        <v>139</v>
      </c>
      <c r="U131" s="215" t="s">
        <v>194</v>
      </c>
    </row>
    <row r="132" spans="1:21">
      <c r="A132" s="214"/>
      <c r="B132" s="233" t="s">
        <v>572</v>
      </c>
      <c r="C132" s="215" t="s">
        <v>131</v>
      </c>
      <c r="D132" s="246">
        <v>0</v>
      </c>
      <c r="E132" s="217"/>
      <c r="F132" s="250" t="s">
        <v>577</v>
      </c>
      <c r="G132" s="233">
        <v>2021</v>
      </c>
      <c r="H132" s="215"/>
      <c r="I132" s="215" t="s">
        <v>137</v>
      </c>
      <c r="J132" s="215" t="s">
        <v>137</v>
      </c>
      <c r="K132" s="215">
        <v>2024</v>
      </c>
      <c r="L132" s="242">
        <v>42000</v>
      </c>
      <c r="M132" s="222">
        <v>0.3</v>
      </c>
      <c r="N132" s="220">
        <f t="shared" si="0"/>
        <v>7978.9500000000007</v>
      </c>
      <c r="O132" s="220">
        <f t="shared" si="1"/>
        <v>31915.800000000003</v>
      </c>
      <c r="P132" s="220">
        <f t="shared" si="2"/>
        <v>10084.199999999997</v>
      </c>
      <c r="Q132" s="215"/>
      <c r="R132" s="215"/>
      <c r="S132" s="215" t="s">
        <v>484</v>
      </c>
      <c r="T132" s="215" t="s">
        <v>139</v>
      </c>
      <c r="U132" s="215" t="s">
        <v>194</v>
      </c>
    </row>
    <row r="133" spans="1:21" ht="28.2">
      <c r="A133" s="214"/>
      <c r="B133" s="233" t="s">
        <v>578</v>
      </c>
      <c r="C133" s="215" t="s">
        <v>131</v>
      </c>
      <c r="D133" s="243">
        <v>317</v>
      </c>
      <c r="E133" s="217"/>
      <c r="F133" s="230" t="s">
        <v>579</v>
      </c>
      <c r="G133" s="233">
        <v>2015</v>
      </c>
      <c r="H133" s="215"/>
      <c r="I133" s="215" t="s">
        <v>137</v>
      </c>
      <c r="J133" s="215" t="s">
        <v>137</v>
      </c>
      <c r="K133" s="215">
        <v>0</v>
      </c>
      <c r="L133" s="227">
        <v>469800</v>
      </c>
      <c r="M133" s="222">
        <v>0.3</v>
      </c>
      <c r="N133" s="220">
        <f t="shared" si="0"/>
        <v>45652.931280197998</v>
      </c>
      <c r="O133" s="220">
        <f t="shared" si="1"/>
        <v>456529.31280198001</v>
      </c>
      <c r="P133" s="220">
        <f t="shared" si="2"/>
        <v>13270.68719801999</v>
      </c>
      <c r="Q133" s="215"/>
      <c r="R133" s="215"/>
      <c r="S133" s="215" t="s">
        <v>484</v>
      </c>
      <c r="T133" s="215" t="s">
        <v>139</v>
      </c>
      <c r="U133" s="215" t="s">
        <v>194</v>
      </c>
    </row>
    <row r="134" spans="1:21" ht="28.2">
      <c r="A134" s="214"/>
      <c r="B134" s="230" t="s">
        <v>191</v>
      </c>
      <c r="C134" s="215" t="s">
        <v>131</v>
      </c>
      <c r="D134" s="243">
        <v>8408</v>
      </c>
      <c r="E134" s="217"/>
      <c r="F134" s="233" t="s">
        <v>192</v>
      </c>
      <c r="G134" s="233">
        <v>2021</v>
      </c>
      <c r="H134" s="215"/>
      <c r="I134" s="215" t="s">
        <v>137</v>
      </c>
      <c r="J134" s="215" t="s">
        <v>137</v>
      </c>
      <c r="K134" s="215"/>
      <c r="L134" s="227">
        <v>70528</v>
      </c>
      <c r="M134" s="222">
        <v>0.3</v>
      </c>
      <c r="N134" s="220">
        <f t="shared" si="0"/>
        <v>13398.556800000002</v>
      </c>
      <c r="O134" s="220">
        <f t="shared" si="1"/>
        <v>53594.227200000008</v>
      </c>
      <c r="P134" s="220">
        <f t="shared" si="2"/>
        <v>16933.772799999995</v>
      </c>
      <c r="Q134" s="215"/>
      <c r="R134" s="215"/>
      <c r="S134" s="233" t="s">
        <v>193</v>
      </c>
      <c r="T134" s="215" t="s">
        <v>139</v>
      </c>
      <c r="U134" s="215" t="s">
        <v>194</v>
      </c>
    </row>
    <row r="135" spans="1:21" ht="28.2">
      <c r="A135" s="214"/>
      <c r="B135" s="230" t="s">
        <v>191</v>
      </c>
      <c r="C135" s="215" t="s">
        <v>131</v>
      </c>
      <c r="D135" s="243"/>
      <c r="E135" s="217"/>
      <c r="F135" s="233"/>
      <c r="G135" s="233">
        <v>2021</v>
      </c>
      <c r="H135" s="215"/>
      <c r="I135" s="215"/>
      <c r="J135" s="215"/>
      <c r="K135" s="215"/>
      <c r="L135" s="227">
        <v>70528</v>
      </c>
      <c r="M135" s="222">
        <v>0.3</v>
      </c>
      <c r="N135" s="220">
        <f t="shared" si="0"/>
        <v>13398.556800000002</v>
      </c>
      <c r="O135" s="220">
        <f t="shared" si="1"/>
        <v>53594.227200000008</v>
      </c>
      <c r="P135" s="220">
        <f t="shared" si="2"/>
        <v>16933.772799999995</v>
      </c>
      <c r="Q135" s="215"/>
      <c r="R135" s="215"/>
      <c r="S135" s="233"/>
      <c r="T135" s="215"/>
      <c r="U135" s="215"/>
    </row>
    <row r="136" spans="1:21" ht="28.2">
      <c r="A136" s="214"/>
      <c r="B136" s="230" t="s">
        <v>191</v>
      </c>
      <c r="C136" s="215" t="s">
        <v>131</v>
      </c>
      <c r="D136" s="243"/>
      <c r="E136" s="217"/>
      <c r="F136" s="233"/>
      <c r="G136" s="233">
        <v>2021</v>
      </c>
      <c r="H136" s="215"/>
      <c r="I136" s="215"/>
      <c r="J136" s="215"/>
      <c r="K136" s="215"/>
      <c r="L136" s="227">
        <v>70528</v>
      </c>
      <c r="M136" s="222">
        <v>0.3</v>
      </c>
      <c r="N136" s="220">
        <f t="shared" si="0"/>
        <v>13398.556800000002</v>
      </c>
      <c r="O136" s="220">
        <f t="shared" si="1"/>
        <v>53594.227200000008</v>
      </c>
      <c r="P136" s="220">
        <f t="shared" si="2"/>
        <v>16933.772799999995</v>
      </c>
      <c r="Q136" s="215"/>
      <c r="R136" s="215"/>
      <c r="S136" s="233"/>
      <c r="T136" s="215"/>
      <c r="U136" s="215"/>
    </row>
    <row r="137" spans="1:21" ht="28.2">
      <c r="A137" s="214"/>
      <c r="B137" s="230" t="s">
        <v>191</v>
      </c>
      <c r="C137" s="215" t="s">
        <v>131</v>
      </c>
      <c r="D137" s="243"/>
      <c r="E137" s="217"/>
      <c r="F137" s="233"/>
      <c r="G137" s="233">
        <v>2021</v>
      </c>
      <c r="H137" s="215"/>
      <c r="I137" s="215"/>
      <c r="J137" s="215"/>
      <c r="K137" s="215"/>
      <c r="L137" s="227">
        <v>70528</v>
      </c>
      <c r="M137" s="222">
        <v>0.3</v>
      </c>
      <c r="N137" s="220">
        <f t="shared" si="0"/>
        <v>13398.556800000002</v>
      </c>
      <c r="O137" s="220">
        <f t="shared" si="1"/>
        <v>53594.227200000008</v>
      </c>
      <c r="P137" s="220">
        <f t="shared" si="2"/>
        <v>16933.772799999995</v>
      </c>
      <c r="Q137" s="215"/>
      <c r="R137" s="215"/>
      <c r="S137" s="233"/>
      <c r="T137" s="215"/>
      <c r="U137" s="215"/>
    </row>
    <row r="138" spans="1:21" ht="28.2">
      <c r="A138" s="214"/>
      <c r="B138" s="230" t="s">
        <v>191</v>
      </c>
      <c r="C138" s="215" t="s">
        <v>131</v>
      </c>
      <c r="D138" s="243"/>
      <c r="E138" s="217"/>
      <c r="F138" s="233"/>
      <c r="G138" s="233">
        <v>2021</v>
      </c>
      <c r="H138" s="215"/>
      <c r="I138" s="215"/>
      <c r="J138" s="215"/>
      <c r="K138" s="215"/>
      <c r="L138" s="227">
        <v>70528</v>
      </c>
      <c r="M138" s="222">
        <v>0.3</v>
      </c>
      <c r="N138" s="220">
        <f t="shared" si="0"/>
        <v>13398.556800000002</v>
      </c>
      <c r="O138" s="220">
        <f t="shared" si="1"/>
        <v>53594.227200000008</v>
      </c>
      <c r="P138" s="220">
        <f t="shared" si="2"/>
        <v>16933.772799999995</v>
      </c>
      <c r="Q138" s="215"/>
      <c r="R138" s="215"/>
      <c r="S138" s="233"/>
      <c r="T138" s="215"/>
      <c r="U138" s="215"/>
    </row>
    <row r="139" spans="1:21" ht="28.2">
      <c r="A139" s="214"/>
      <c r="B139" s="230" t="s">
        <v>191</v>
      </c>
      <c r="C139" s="215" t="s">
        <v>131</v>
      </c>
      <c r="D139" s="243"/>
      <c r="E139" s="217"/>
      <c r="F139" s="233"/>
      <c r="G139" s="233">
        <v>2021</v>
      </c>
      <c r="H139" s="215"/>
      <c r="I139" s="215"/>
      <c r="J139" s="215"/>
      <c r="K139" s="215"/>
      <c r="L139" s="227">
        <v>70528</v>
      </c>
      <c r="M139" s="222">
        <v>0.3</v>
      </c>
      <c r="N139" s="220">
        <f t="shared" si="0"/>
        <v>13398.556800000002</v>
      </c>
      <c r="O139" s="220">
        <f t="shared" si="1"/>
        <v>53594.227200000008</v>
      </c>
      <c r="P139" s="220">
        <f t="shared" si="2"/>
        <v>16933.772799999995</v>
      </c>
      <c r="Q139" s="215"/>
      <c r="R139" s="215"/>
      <c r="S139" s="233"/>
      <c r="T139" s="215"/>
      <c r="U139" s="215"/>
    </row>
    <row r="140" spans="1:21" ht="28.2">
      <c r="A140" s="214"/>
      <c r="B140" s="230" t="s">
        <v>191</v>
      </c>
      <c r="C140" s="215" t="s">
        <v>131</v>
      </c>
      <c r="D140" s="243">
        <v>200900047</v>
      </c>
      <c r="E140" s="217"/>
      <c r="F140" s="233" t="s">
        <v>195</v>
      </c>
      <c r="G140" s="233">
        <v>2021</v>
      </c>
      <c r="H140" s="215"/>
      <c r="I140" s="215" t="s">
        <v>137</v>
      </c>
      <c r="J140" s="215" t="s">
        <v>137</v>
      </c>
      <c r="K140" s="215">
        <v>0</v>
      </c>
      <c r="L140" s="227">
        <v>70528</v>
      </c>
      <c r="M140" s="222">
        <v>0.3</v>
      </c>
      <c r="N140" s="220">
        <f t="shared" si="0"/>
        <v>13398.556800000002</v>
      </c>
      <c r="O140" s="220">
        <f t="shared" si="1"/>
        <v>53594.227200000008</v>
      </c>
      <c r="P140" s="220">
        <f t="shared" si="2"/>
        <v>16933.772799999995</v>
      </c>
      <c r="Q140" s="215"/>
      <c r="R140" s="215"/>
      <c r="S140" s="233" t="s">
        <v>196</v>
      </c>
      <c r="T140" s="215" t="s">
        <v>139</v>
      </c>
      <c r="U140" s="215" t="s">
        <v>194</v>
      </c>
    </row>
    <row r="141" spans="1:21" ht="28.2">
      <c r="A141" s="214"/>
      <c r="B141" s="230" t="s">
        <v>191</v>
      </c>
      <c r="C141" s="215" t="s">
        <v>131</v>
      </c>
      <c r="D141" s="243">
        <v>200900020</v>
      </c>
      <c r="E141" s="217"/>
      <c r="F141" s="233" t="s">
        <v>195</v>
      </c>
      <c r="G141" s="233">
        <v>2021</v>
      </c>
      <c r="H141" s="215"/>
      <c r="I141" s="215" t="s">
        <v>137</v>
      </c>
      <c r="J141" s="215" t="s">
        <v>137</v>
      </c>
      <c r="K141" s="215">
        <v>0</v>
      </c>
      <c r="L141" s="227">
        <v>70528</v>
      </c>
      <c r="M141" s="222">
        <v>0.3</v>
      </c>
      <c r="N141" s="220">
        <f t="shared" si="0"/>
        <v>13398.556800000002</v>
      </c>
      <c r="O141" s="220">
        <f t="shared" si="1"/>
        <v>53594.227200000008</v>
      </c>
      <c r="P141" s="220">
        <f t="shared" si="2"/>
        <v>16933.772799999995</v>
      </c>
      <c r="Q141" s="215"/>
      <c r="R141" s="215"/>
      <c r="S141" s="233" t="s">
        <v>197</v>
      </c>
      <c r="T141" s="215" t="s">
        <v>139</v>
      </c>
      <c r="U141" s="215" t="s">
        <v>194</v>
      </c>
    </row>
    <row r="142" spans="1:21" ht="28.2">
      <c r="A142" s="214"/>
      <c r="B142" s="230" t="s">
        <v>191</v>
      </c>
      <c r="C142" s="215" t="s">
        <v>131</v>
      </c>
      <c r="D142" s="243">
        <v>200400076</v>
      </c>
      <c r="E142" s="217"/>
      <c r="F142" s="233" t="s">
        <v>195</v>
      </c>
      <c r="G142" s="233">
        <v>2021</v>
      </c>
      <c r="H142" s="215"/>
      <c r="I142" s="215" t="s">
        <v>137</v>
      </c>
      <c r="J142" s="215" t="s">
        <v>137</v>
      </c>
      <c r="K142" s="215">
        <v>0</v>
      </c>
      <c r="L142" s="227">
        <v>70528</v>
      </c>
      <c r="M142" s="222">
        <v>0.3</v>
      </c>
      <c r="N142" s="220">
        <f t="shared" si="0"/>
        <v>13398.556800000002</v>
      </c>
      <c r="O142" s="220">
        <f t="shared" si="1"/>
        <v>53594.227200000008</v>
      </c>
      <c r="P142" s="220">
        <f t="shared" si="2"/>
        <v>16933.772799999995</v>
      </c>
      <c r="Q142" s="215"/>
      <c r="R142" s="215"/>
      <c r="S142" s="233" t="s">
        <v>198</v>
      </c>
      <c r="T142" s="215" t="s">
        <v>139</v>
      </c>
      <c r="U142" s="215" t="s">
        <v>194</v>
      </c>
    </row>
    <row r="143" spans="1:21" ht="28.2">
      <c r="A143" s="214"/>
      <c r="B143" s="230" t="s">
        <v>191</v>
      </c>
      <c r="C143" s="215" t="s">
        <v>131</v>
      </c>
      <c r="D143" s="243">
        <v>200400117</v>
      </c>
      <c r="E143" s="217"/>
      <c r="F143" s="233" t="s">
        <v>195</v>
      </c>
      <c r="G143" s="233">
        <v>2021</v>
      </c>
      <c r="H143" s="215"/>
      <c r="I143" s="215" t="s">
        <v>137</v>
      </c>
      <c r="J143" s="215" t="s">
        <v>137</v>
      </c>
      <c r="K143" s="215">
        <v>0</v>
      </c>
      <c r="L143" s="227">
        <v>70528</v>
      </c>
      <c r="M143" s="222">
        <v>0.3</v>
      </c>
      <c r="N143" s="220">
        <f t="shared" si="0"/>
        <v>13398.556800000002</v>
      </c>
      <c r="O143" s="220">
        <f t="shared" si="1"/>
        <v>53594.227200000008</v>
      </c>
      <c r="P143" s="220">
        <f t="shared" si="2"/>
        <v>16933.772799999995</v>
      </c>
      <c r="Q143" s="215"/>
      <c r="R143" s="215"/>
      <c r="S143" s="233" t="s">
        <v>199</v>
      </c>
      <c r="T143" s="215" t="s">
        <v>139</v>
      </c>
      <c r="U143" s="215" t="s">
        <v>194</v>
      </c>
    </row>
    <row r="144" spans="1:21" ht="28.2">
      <c r="A144" s="214"/>
      <c r="B144" s="230" t="s">
        <v>585</v>
      </c>
      <c r="C144" s="215" t="s">
        <v>131</v>
      </c>
      <c r="D144" s="243" t="s">
        <v>586</v>
      </c>
      <c r="E144" s="217" t="s">
        <v>587</v>
      </c>
      <c r="F144" s="233" t="s">
        <v>588</v>
      </c>
      <c r="G144" s="233">
        <v>2022</v>
      </c>
      <c r="H144" s="215"/>
      <c r="I144" s="215" t="s">
        <v>137</v>
      </c>
      <c r="J144" s="215"/>
      <c r="K144" s="215"/>
      <c r="L144" s="227">
        <v>58400</v>
      </c>
      <c r="M144" s="222">
        <v>0.3</v>
      </c>
      <c r="N144" s="220">
        <f t="shared" si="0"/>
        <v>12789.6</v>
      </c>
      <c r="O144" s="220">
        <f t="shared" si="1"/>
        <v>38368.800000000003</v>
      </c>
      <c r="P144" s="220">
        <f t="shared" si="2"/>
        <v>20031.199999999993</v>
      </c>
      <c r="Q144" s="215"/>
      <c r="R144" s="215"/>
      <c r="S144" s="233" t="s">
        <v>484</v>
      </c>
      <c r="T144" s="215" t="s">
        <v>139</v>
      </c>
      <c r="U144" s="215" t="s">
        <v>194</v>
      </c>
    </row>
    <row r="145" spans="1:21" ht="28.2">
      <c r="A145" s="214"/>
      <c r="B145" s="230" t="s">
        <v>585</v>
      </c>
      <c r="C145" s="215" t="s">
        <v>131</v>
      </c>
      <c r="D145" s="243" t="s">
        <v>589</v>
      </c>
      <c r="E145" s="217" t="s">
        <v>590</v>
      </c>
      <c r="F145" s="233" t="s">
        <v>588</v>
      </c>
      <c r="G145" s="233">
        <v>2022</v>
      </c>
      <c r="H145" s="215"/>
      <c r="I145" s="215" t="s">
        <v>137</v>
      </c>
      <c r="J145" s="215"/>
      <c r="K145" s="215"/>
      <c r="L145" s="227">
        <v>58400</v>
      </c>
      <c r="M145" s="222">
        <v>0.3</v>
      </c>
      <c r="N145" s="220">
        <f t="shared" si="0"/>
        <v>12789.6</v>
      </c>
      <c r="O145" s="220">
        <f t="shared" si="1"/>
        <v>38368.800000000003</v>
      </c>
      <c r="P145" s="220">
        <f t="shared" si="2"/>
        <v>20031.199999999993</v>
      </c>
      <c r="Q145" s="215"/>
      <c r="R145" s="215"/>
      <c r="S145" s="233" t="s">
        <v>484</v>
      </c>
      <c r="T145" s="215" t="s">
        <v>139</v>
      </c>
      <c r="U145" s="215" t="s">
        <v>194</v>
      </c>
    </row>
    <row r="146" spans="1:21" ht="28.2">
      <c r="A146" s="214"/>
      <c r="B146" s="230" t="s">
        <v>585</v>
      </c>
      <c r="C146" s="215" t="s">
        <v>131</v>
      </c>
      <c r="D146" s="243" t="s">
        <v>591</v>
      </c>
      <c r="E146" s="217" t="s">
        <v>592</v>
      </c>
      <c r="F146" s="233" t="s">
        <v>588</v>
      </c>
      <c r="G146" s="233">
        <v>2022</v>
      </c>
      <c r="H146" s="215"/>
      <c r="I146" s="215" t="s">
        <v>137</v>
      </c>
      <c r="J146" s="215"/>
      <c r="K146" s="215"/>
      <c r="L146" s="227">
        <v>58400</v>
      </c>
      <c r="M146" s="222">
        <v>0.3</v>
      </c>
      <c r="N146" s="220">
        <f t="shared" si="0"/>
        <v>12789.6</v>
      </c>
      <c r="O146" s="220">
        <f t="shared" si="1"/>
        <v>38368.800000000003</v>
      </c>
      <c r="P146" s="220">
        <f t="shared" si="2"/>
        <v>20031.199999999993</v>
      </c>
      <c r="Q146" s="215"/>
      <c r="R146" s="215"/>
      <c r="S146" s="233" t="s">
        <v>484</v>
      </c>
      <c r="T146" s="215" t="s">
        <v>139</v>
      </c>
      <c r="U146" s="215" t="s">
        <v>194</v>
      </c>
    </row>
    <row r="147" spans="1:21" ht="28.2">
      <c r="A147" s="214"/>
      <c r="B147" s="230" t="s">
        <v>585</v>
      </c>
      <c r="C147" s="215" t="s">
        <v>131</v>
      </c>
      <c r="D147" s="243" t="s">
        <v>593</v>
      </c>
      <c r="E147" s="217" t="s">
        <v>594</v>
      </c>
      <c r="F147" s="233" t="s">
        <v>588</v>
      </c>
      <c r="G147" s="233">
        <v>2022</v>
      </c>
      <c r="H147" s="215"/>
      <c r="I147" s="215" t="s">
        <v>137</v>
      </c>
      <c r="J147" s="215"/>
      <c r="K147" s="215"/>
      <c r="L147" s="227">
        <v>58400</v>
      </c>
      <c r="M147" s="222">
        <v>0.3</v>
      </c>
      <c r="N147" s="220">
        <f t="shared" si="0"/>
        <v>12789.6</v>
      </c>
      <c r="O147" s="220">
        <f t="shared" si="1"/>
        <v>38368.800000000003</v>
      </c>
      <c r="P147" s="220">
        <f t="shared" si="2"/>
        <v>20031.199999999993</v>
      </c>
      <c r="Q147" s="215"/>
      <c r="R147" s="215"/>
      <c r="S147" s="233" t="s">
        <v>484</v>
      </c>
      <c r="T147" s="215" t="s">
        <v>139</v>
      </c>
      <c r="U147" s="215" t="s">
        <v>194</v>
      </c>
    </row>
    <row r="148" spans="1:21" ht="28.2">
      <c r="A148" s="214"/>
      <c r="B148" s="230" t="s">
        <v>585</v>
      </c>
      <c r="C148" s="215" t="s">
        <v>131</v>
      </c>
      <c r="D148" s="243" t="s">
        <v>595</v>
      </c>
      <c r="E148" s="217" t="s">
        <v>596</v>
      </c>
      <c r="F148" s="233" t="s">
        <v>588</v>
      </c>
      <c r="G148" s="233">
        <v>2022</v>
      </c>
      <c r="H148" s="215"/>
      <c r="I148" s="215" t="s">
        <v>137</v>
      </c>
      <c r="J148" s="215"/>
      <c r="K148" s="215"/>
      <c r="L148" s="227">
        <v>58400</v>
      </c>
      <c r="M148" s="222">
        <v>0.3</v>
      </c>
      <c r="N148" s="220">
        <f t="shared" si="0"/>
        <v>12789.6</v>
      </c>
      <c r="O148" s="220">
        <f t="shared" si="1"/>
        <v>38368.800000000003</v>
      </c>
      <c r="P148" s="220">
        <f t="shared" si="2"/>
        <v>20031.199999999993</v>
      </c>
      <c r="Q148" s="215"/>
      <c r="R148" s="215"/>
      <c r="S148" s="233" t="s">
        <v>484</v>
      </c>
      <c r="T148" s="215" t="s">
        <v>139</v>
      </c>
      <c r="U148" s="215" t="s">
        <v>194</v>
      </c>
    </row>
    <row r="149" spans="1:21" ht="28.2">
      <c r="A149" s="214"/>
      <c r="B149" s="230" t="s">
        <v>585</v>
      </c>
      <c r="C149" s="215" t="s">
        <v>131</v>
      </c>
      <c r="D149" s="243" t="s">
        <v>597</v>
      </c>
      <c r="E149" s="217" t="s">
        <v>598</v>
      </c>
      <c r="F149" s="233" t="s">
        <v>588</v>
      </c>
      <c r="G149" s="233">
        <v>2022</v>
      </c>
      <c r="H149" s="215"/>
      <c r="I149" s="215" t="s">
        <v>137</v>
      </c>
      <c r="J149" s="215"/>
      <c r="K149" s="215"/>
      <c r="L149" s="227">
        <v>58400</v>
      </c>
      <c r="M149" s="222">
        <v>0.3</v>
      </c>
      <c r="N149" s="220">
        <f t="shared" si="0"/>
        <v>12789.6</v>
      </c>
      <c r="O149" s="220">
        <f t="shared" si="1"/>
        <v>38368.800000000003</v>
      </c>
      <c r="P149" s="220">
        <f t="shared" si="2"/>
        <v>20031.199999999993</v>
      </c>
      <c r="Q149" s="215"/>
      <c r="R149" s="215"/>
      <c r="S149" s="233" t="s">
        <v>484</v>
      </c>
      <c r="T149" s="215" t="s">
        <v>139</v>
      </c>
      <c r="U149" s="215" t="s">
        <v>194</v>
      </c>
    </row>
    <row r="150" spans="1:21" ht="28.2">
      <c r="A150" s="214"/>
      <c r="B150" s="230" t="s">
        <v>585</v>
      </c>
      <c r="C150" s="215" t="s">
        <v>131</v>
      </c>
      <c r="D150" s="243" t="s">
        <v>599</v>
      </c>
      <c r="E150" s="217" t="s">
        <v>600</v>
      </c>
      <c r="F150" s="233" t="s">
        <v>588</v>
      </c>
      <c r="G150" s="233">
        <v>2022</v>
      </c>
      <c r="H150" s="215"/>
      <c r="I150" s="215" t="s">
        <v>137</v>
      </c>
      <c r="J150" s="215"/>
      <c r="K150" s="215"/>
      <c r="L150" s="227">
        <v>58400</v>
      </c>
      <c r="M150" s="222">
        <v>0.3</v>
      </c>
      <c r="N150" s="220">
        <f t="shared" si="0"/>
        <v>12789.6</v>
      </c>
      <c r="O150" s="220">
        <f t="shared" si="1"/>
        <v>38368.800000000003</v>
      </c>
      <c r="P150" s="220">
        <f t="shared" si="2"/>
        <v>20031.199999999993</v>
      </c>
      <c r="Q150" s="215"/>
      <c r="R150" s="215"/>
      <c r="S150" s="233" t="s">
        <v>484</v>
      </c>
      <c r="T150" s="215" t="s">
        <v>139</v>
      </c>
      <c r="U150" s="215" t="s">
        <v>194</v>
      </c>
    </row>
    <row r="151" spans="1:21" ht="28.2">
      <c r="A151" s="214"/>
      <c r="B151" s="230" t="s">
        <v>585</v>
      </c>
      <c r="C151" s="215" t="s">
        <v>131</v>
      </c>
      <c r="D151" s="243" t="s">
        <v>601</v>
      </c>
      <c r="E151" s="217" t="s">
        <v>602</v>
      </c>
      <c r="F151" s="233" t="s">
        <v>588</v>
      </c>
      <c r="G151" s="233">
        <v>2022</v>
      </c>
      <c r="H151" s="215"/>
      <c r="I151" s="215" t="s">
        <v>137</v>
      </c>
      <c r="J151" s="215"/>
      <c r="K151" s="215"/>
      <c r="L151" s="227">
        <v>58400</v>
      </c>
      <c r="M151" s="222">
        <v>0.3</v>
      </c>
      <c r="N151" s="220">
        <f t="shared" si="0"/>
        <v>12789.6</v>
      </c>
      <c r="O151" s="220">
        <f t="shared" si="1"/>
        <v>38368.800000000003</v>
      </c>
      <c r="P151" s="220">
        <f t="shared" si="2"/>
        <v>20031.199999999993</v>
      </c>
      <c r="Q151" s="215"/>
      <c r="R151" s="215"/>
      <c r="S151" s="233" t="s">
        <v>484</v>
      </c>
      <c r="T151" s="215" t="s">
        <v>139</v>
      </c>
      <c r="U151" s="215" t="s">
        <v>194</v>
      </c>
    </row>
    <row r="152" spans="1:21">
      <c r="A152" s="214"/>
      <c r="B152" s="230" t="s">
        <v>603</v>
      </c>
      <c r="C152" s="215" t="s">
        <v>131</v>
      </c>
      <c r="D152" s="256" t="s">
        <v>604</v>
      </c>
      <c r="E152" s="217" t="s">
        <v>605</v>
      </c>
      <c r="F152" s="232" t="s">
        <v>606</v>
      </c>
      <c r="G152" s="233">
        <v>2021</v>
      </c>
      <c r="H152" s="215"/>
      <c r="I152" s="215" t="s">
        <v>137</v>
      </c>
      <c r="J152" s="215" t="s">
        <v>137</v>
      </c>
      <c r="K152" s="215">
        <v>2023</v>
      </c>
      <c r="L152" s="227">
        <v>32500</v>
      </c>
      <c r="M152" s="222">
        <v>0.3</v>
      </c>
      <c r="N152" s="220">
        <f t="shared" si="0"/>
        <v>6174.1875000000009</v>
      </c>
      <c r="O152" s="220">
        <f t="shared" si="1"/>
        <v>24696.750000000004</v>
      </c>
      <c r="P152" s="220">
        <f t="shared" si="2"/>
        <v>7803.2499999999973</v>
      </c>
      <c r="Q152" s="215"/>
      <c r="R152" s="215"/>
      <c r="S152" s="233" t="s">
        <v>193</v>
      </c>
      <c r="T152" s="215" t="s">
        <v>139</v>
      </c>
      <c r="U152" s="215" t="s">
        <v>194</v>
      </c>
    </row>
    <row r="153" spans="1:21" ht="28.2">
      <c r="A153" s="214"/>
      <c r="B153" s="230" t="s">
        <v>607</v>
      </c>
      <c r="C153" s="215" t="s">
        <v>131</v>
      </c>
      <c r="D153" s="256" t="s">
        <v>608</v>
      </c>
      <c r="E153" s="217" t="s">
        <v>609</v>
      </c>
      <c r="F153" s="232" t="s">
        <v>606</v>
      </c>
      <c r="G153" s="233">
        <v>2021</v>
      </c>
      <c r="H153" s="215"/>
      <c r="I153" s="215" t="s">
        <v>137</v>
      </c>
      <c r="J153" s="215" t="s">
        <v>137</v>
      </c>
      <c r="K153" s="215">
        <v>2023</v>
      </c>
      <c r="L153" s="227">
        <v>32500</v>
      </c>
      <c r="M153" s="222">
        <v>0.3</v>
      </c>
      <c r="N153" s="220">
        <f t="shared" si="0"/>
        <v>6174.1875000000009</v>
      </c>
      <c r="O153" s="220">
        <f t="shared" si="1"/>
        <v>24696.750000000004</v>
      </c>
      <c r="P153" s="220">
        <f t="shared" si="2"/>
        <v>7803.2499999999973</v>
      </c>
      <c r="Q153" s="215"/>
      <c r="R153" s="215"/>
      <c r="S153" s="233" t="s">
        <v>610</v>
      </c>
      <c r="T153" s="215" t="s">
        <v>139</v>
      </c>
      <c r="U153" s="215" t="s">
        <v>194</v>
      </c>
    </row>
    <row r="154" spans="1:21" ht="28.2">
      <c r="A154" s="214"/>
      <c r="B154" s="230" t="s">
        <v>607</v>
      </c>
      <c r="C154" s="215" t="s">
        <v>131</v>
      </c>
      <c r="D154" s="251"/>
      <c r="E154" s="217" t="s">
        <v>611</v>
      </c>
      <c r="F154" s="232" t="s">
        <v>612</v>
      </c>
      <c r="G154" s="233">
        <v>2021</v>
      </c>
      <c r="H154" s="215"/>
      <c r="I154" s="215" t="s">
        <v>137</v>
      </c>
      <c r="J154" s="215" t="s">
        <v>137</v>
      </c>
      <c r="K154" s="215">
        <v>2023</v>
      </c>
      <c r="L154" s="227">
        <v>12500</v>
      </c>
      <c r="M154" s="222">
        <v>0.3</v>
      </c>
      <c r="N154" s="220">
        <f t="shared" si="0"/>
        <v>2374.6875</v>
      </c>
      <c r="O154" s="220">
        <f t="shared" si="1"/>
        <v>9498.75</v>
      </c>
      <c r="P154" s="220">
        <f t="shared" si="2"/>
        <v>3001.2499999999991</v>
      </c>
      <c r="Q154" s="215"/>
      <c r="R154" s="215"/>
      <c r="S154" s="233" t="s">
        <v>318</v>
      </c>
      <c r="T154" s="215" t="s">
        <v>139</v>
      </c>
      <c r="U154" s="215" t="s">
        <v>194</v>
      </c>
    </row>
    <row r="155" spans="1:21" ht="28.2">
      <c r="A155" s="214"/>
      <c r="B155" s="230" t="s">
        <v>607</v>
      </c>
      <c r="C155" s="215" t="s">
        <v>131</v>
      </c>
      <c r="D155" s="256" t="s">
        <v>613</v>
      </c>
      <c r="E155" s="217" t="s">
        <v>614</v>
      </c>
      <c r="F155" s="232" t="s">
        <v>612</v>
      </c>
      <c r="G155" s="233">
        <v>2021</v>
      </c>
      <c r="H155" s="215"/>
      <c r="I155" s="215" t="s">
        <v>137</v>
      </c>
      <c r="J155" s="215" t="s">
        <v>137</v>
      </c>
      <c r="K155" s="215">
        <v>2023</v>
      </c>
      <c r="L155" s="227">
        <v>12500</v>
      </c>
      <c r="M155" s="222">
        <v>0.3</v>
      </c>
      <c r="N155" s="220">
        <f t="shared" si="0"/>
        <v>2374.6875</v>
      </c>
      <c r="O155" s="220">
        <f t="shared" si="1"/>
        <v>9498.75</v>
      </c>
      <c r="P155" s="220">
        <f t="shared" si="2"/>
        <v>3001.2499999999991</v>
      </c>
      <c r="Q155" s="215"/>
      <c r="R155" s="215"/>
      <c r="S155" s="233" t="s">
        <v>402</v>
      </c>
      <c r="T155" s="215" t="s">
        <v>139</v>
      </c>
      <c r="U155" s="215" t="s">
        <v>194</v>
      </c>
    </row>
    <row r="156" spans="1:21">
      <c r="A156" s="257"/>
      <c r="B156" s="230" t="s">
        <v>603</v>
      </c>
      <c r="C156" s="216" t="s">
        <v>131</v>
      </c>
      <c r="D156" s="256" t="s">
        <v>615</v>
      </c>
      <c r="E156" s="226" t="s">
        <v>616</v>
      </c>
      <c r="F156" s="258" t="s">
        <v>606</v>
      </c>
      <c r="G156" s="233">
        <v>2021</v>
      </c>
      <c r="H156" s="216"/>
      <c r="I156" s="216" t="s">
        <v>137</v>
      </c>
      <c r="J156" s="216" t="s">
        <v>137</v>
      </c>
      <c r="K156" s="216">
        <v>2023</v>
      </c>
      <c r="L156" s="227">
        <v>32500</v>
      </c>
      <c r="M156" s="222">
        <v>0.3</v>
      </c>
      <c r="N156" s="220">
        <f t="shared" si="0"/>
        <v>6174.1875000000009</v>
      </c>
      <c r="O156" s="220">
        <f t="shared" si="1"/>
        <v>24696.750000000004</v>
      </c>
      <c r="P156" s="220">
        <f t="shared" si="2"/>
        <v>7803.2499999999973</v>
      </c>
      <c r="Q156" s="216"/>
      <c r="R156" s="216"/>
      <c r="S156" s="243" t="s">
        <v>617</v>
      </c>
      <c r="T156" s="216" t="s">
        <v>139</v>
      </c>
      <c r="U156" s="216" t="s">
        <v>194</v>
      </c>
    </row>
    <row r="157" spans="1:21">
      <c r="A157" s="214"/>
      <c r="B157" s="230" t="s">
        <v>603</v>
      </c>
      <c r="C157" s="215" t="s">
        <v>131</v>
      </c>
      <c r="D157" s="256" t="s">
        <v>618</v>
      </c>
      <c r="E157" s="217" t="s">
        <v>619</v>
      </c>
      <c r="F157" s="232" t="s">
        <v>606</v>
      </c>
      <c r="G157" s="233">
        <v>2021</v>
      </c>
      <c r="H157" s="215"/>
      <c r="I157" s="215" t="s">
        <v>137</v>
      </c>
      <c r="J157" s="215" t="s">
        <v>137</v>
      </c>
      <c r="K157" s="215">
        <v>2023</v>
      </c>
      <c r="L157" s="227">
        <v>32500</v>
      </c>
      <c r="M157" s="222">
        <v>0.3</v>
      </c>
      <c r="N157" s="220">
        <f t="shared" si="0"/>
        <v>6174.1875000000009</v>
      </c>
      <c r="O157" s="220">
        <f t="shared" si="1"/>
        <v>24696.750000000004</v>
      </c>
      <c r="P157" s="220">
        <f t="shared" si="2"/>
        <v>7803.2499999999973</v>
      </c>
      <c r="Q157" s="215"/>
      <c r="R157" s="215"/>
      <c r="S157" s="233" t="s">
        <v>392</v>
      </c>
      <c r="T157" s="215" t="s">
        <v>139</v>
      </c>
      <c r="U157" s="215" t="s">
        <v>194</v>
      </c>
    </row>
    <row r="158" spans="1:21" ht="28.2">
      <c r="A158" s="214"/>
      <c r="B158" s="230" t="s">
        <v>607</v>
      </c>
      <c r="C158" s="215" t="s">
        <v>131</v>
      </c>
      <c r="D158" s="256"/>
      <c r="E158" s="217" t="s">
        <v>620</v>
      </c>
      <c r="F158" s="232" t="s">
        <v>612</v>
      </c>
      <c r="G158" s="233">
        <v>2021</v>
      </c>
      <c r="H158" s="215"/>
      <c r="I158" s="215" t="s">
        <v>137</v>
      </c>
      <c r="J158" s="215" t="s">
        <v>137</v>
      </c>
      <c r="K158" s="215">
        <v>2023</v>
      </c>
      <c r="L158" s="227">
        <v>12500</v>
      </c>
      <c r="M158" s="222">
        <v>0.3</v>
      </c>
      <c r="N158" s="220">
        <f t="shared" si="0"/>
        <v>2374.6875</v>
      </c>
      <c r="O158" s="220">
        <f t="shared" si="1"/>
        <v>9498.75</v>
      </c>
      <c r="P158" s="220">
        <f t="shared" si="2"/>
        <v>3001.2499999999991</v>
      </c>
      <c r="Q158" s="215"/>
      <c r="R158" s="215"/>
      <c r="S158" s="233" t="s">
        <v>321</v>
      </c>
      <c r="T158" s="215" t="s">
        <v>139</v>
      </c>
      <c r="U158" s="215" t="s">
        <v>194</v>
      </c>
    </row>
    <row r="159" spans="1:21">
      <c r="A159" s="214"/>
      <c r="B159" s="230" t="s">
        <v>603</v>
      </c>
      <c r="C159" s="215" t="s">
        <v>131</v>
      </c>
      <c r="D159" s="256" t="s">
        <v>621</v>
      </c>
      <c r="E159" s="217" t="s">
        <v>622</v>
      </c>
      <c r="F159" s="232" t="s">
        <v>606</v>
      </c>
      <c r="G159" s="233">
        <v>2021</v>
      </c>
      <c r="H159" s="215"/>
      <c r="I159" s="215" t="s">
        <v>137</v>
      </c>
      <c r="J159" s="215" t="s">
        <v>137</v>
      </c>
      <c r="K159" s="215">
        <v>2023</v>
      </c>
      <c r="L159" s="227">
        <v>32500</v>
      </c>
      <c r="M159" s="222">
        <v>0.3</v>
      </c>
      <c r="N159" s="220">
        <f t="shared" si="0"/>
        <v>6174.1875000000009</v>
      </c>
      <c r="O159" s="220">
        <f t="shared" si="1"/>
        <v>24696.750000000004</v>
      </c>
      <c r="P159" s="220">
        <f t="shared" si="2"/>
        <v>7803.2499999999973</v>
      </c>
      <c r="Q159" s="215"/>
      <c r="R159" s="215"/>
      <c r="S159" s="233" t="s">
        <v>273</v>
      </c>
      <c r="T159" s="215" t="s">
        <v>139</v>
      </c>
      <c r="U159" s="215" t="s">
        <v>194</v>
      </c>
    </row>
    <row r="160" spans="1:21" ht="28.2">
      <c r="A160" s="214" t="s">
        <v>1831</v>
      </c>
      <c r="B160" s="230" t="s">
        <v>607</v>
      </c>
      <c r="C160" s="215" t="s">
        <v>131</v>
      </c>
      <c r="D160" s="256"/>
      <c r="E160" s="217" t="s">
        <v>623</v>
      </c>
      <c r="F160" s="232" t="s">
        <v>612</v>
      </c>
      <c r="G160" s="233">
        <v>2021</v>
      </c>
      <c r="H160" s="215"/>
      <c r="I160" s="215" t="s">
        <v>137</v>
      </c>
      <c r="J160" s="215" t="s">
        <v>137</v>
      </c>
      <c r="K160" s="215">
        <v>2023</v>
      </c>
      <c r="L160" s="227">
        <v>12500</v>
      </c>
      <c r="M160" s="222">
        <v>0.3</v>
      </c>
      <c r="N160" s="220">
        <f t="shared" si="0"/>
        <v>2374.6875</v>
      </c>
      <c r="O160" s="220">
        <f t="shared" si="1"/>
        <v>9498.75</v>
      </c>
      <c r="P160" s="220">
        <f t="shared" si="2"/>
        <v>3001.2499999999991</v>
      </c>
      <c r="Q160" s="215"/>
      <c r="R160" s="215"/>
      <c r="S160" s="233" t="s">
        <v>301</v>
      </c>
      <c r="T160" s="215" t="s">
        <v>139</v>
      </c>
      <c r="U160" s="215" t="s">
        <v>194</v>
      </c>
    </row>
    <row r="161" spans="1:21" ht="28.2">
      <c r="A161" s="214"/>
      <c r="B161" s="230" t="s">
        <v>607</v>
      </c>
      <c r="C161" s="215" t="s">
        <v>131</v>
      </c>
      <c r="D161" s="256"/>
      <c r="E161" s="217" t="s">
        <v>624</v>
      </c>
      <c r="F161" s="232" t="s">
        <v>612</v>
      </c>
      <c r="G161" s="233">
        <v>2021</v>
      </c>
      <c r="H161" s="215"/>
      <c r="I161" s="215" t="s">
        <v>137</v>
      </c>
      <c r="J161" s="215" t="s">
        <v>137</v>
      </c>
      <c r="K161" s="215">
        <v>2023</v>
      </c>
      <c r="L161" s="227">
        <v>12500</v>
      </c>
      <c r="M161" s="222">
        <v>0.3</v>
      </c>
      <c r="N161" s="220">
        <f t="shared" si="0"/>
        <v>2374.6875</v>
      </c>
      <c r="O161" s="220">
        <f t="shared" si="1"/>
        <v>9498.75</v>
      </c>
      <c r="P161" s="220">
        <f t="shared" si="2"/>
        <v>3001.2499999999991</v>
      </c>
      <c r="Q161" s="215"/>
      <c r="R161" s="215"/>
      <c r="S161" s="233" t="s">
        <v>351</v>
      </c>
      <c r="T161" s="215" t="s">
        <v>139</v>
      </c>
      <c r="U161" s="215" t="s">
        <v>194</v>
      </c>
    </row>
    <row r="162" spans="1:21" ht="28.2">
      <c r="A162" s="214"/>
      <c r="B162" s="230" t="s">
        <v>607</v>
      </c>
      <c r="C162" s="215" t="s">
        <v>131</v>
      </c>
      <c r="D162" s="256"/>
      <c r="E162" s="217" t="s">
        <v>625</v>
      </c>
      <c r="F162" s="232" t="s">
        <v>612</v>
      </c>
      <c r="G162" s="233">
        <v>2021</v>
      </c>
      <c r="H162" s="215"/>
      <c r="I162" s="215" t="s">
        <v>137</v>
      </c>
      <c r="J162" s="215" t="s">
        <v>137</v>
      </c>
      <c r="K162" s="215">
        <v>2023</v>
      </c>
      <c r="L162" s="227">
        <v>12500</v>
      </c>
      <c r="M162" s="222">
        <v>0.3</v>
      </c>
      <c r="N162" s="220">
        <f t="shared" si="0"/>
        <v>2374.6875</v>
      </c>
      <c r="O162" s="220">
        <f t="shared" si="1"/>
        <v>9498.75</v>
      </c>
      <c r="P162" s="220">
        <f t="shared" si="2"/>
        <v>3001.2499999999991</v>
      </c>
      <c r="Q162" s="215"/>
      <c r="R162" s="215"/>
      <c r="S162" s="233" t="s">
        <v>794</v>
      </c>
      <c r="T162" s="215" t="s">
        <v>139</v>
      </c>
      <c r="U162" s="215" t="s">
        <v>194</v>
      </c>
    </row>
    <row r="163" spans="1:21">
      <c r="A163" s="214"/>
      <c r="B163" s="230" t="s">
        <v>603</v>
      </c>
      <c r="C163" s="215" t="s">
        <v>131</v>
      </c>
      <c r="D163" s="256" t="s">
        <v>626</v>
      </c>
      <c r="E163" s="217" t="s">
        <v>627</v>
      </c>
      <c r="F163" s="232" t="s">
        <v>606</v>
      </c>
      <c r="G163" s="233">
        <v>2021</v>
      </c>
      <c r="H163" s="215"/>
      <c r="I163" s="215" t="s">
        <v>137</v>
      </c>
      <c r="J163" s="215" t="s">
        <v>137</v>
      </c>
      <c r="K163" s="215">
        <v>2023</v>
      </c>
      <c r="L163" s="227">
        <v>32500</v>
      </c>
      <c r="M163" s="222">
        <v>0.3</v>
      </c>
      <c r="N163" s="220">
        <f t="shared" si="0"/>
        <v>6174.1875000000009</v>
      </c>
      <c r="O163" s="220">
        <f t="shared" si="1"/>
        <v>24696.750000000004</v>
      </c>
      <c r="P163" s="220">
        <f t="shared" si="2"/>
        <v>7803.2499999999973</v>
      </c>
      <c r="Q163" s="215"/>
      <c r="R163" s="215"/>
      <c r="S163" s="233" t="s">
        <v>197</v>
      </c>
      <c r="T163" s="215" t="s">
        <v>139</v>
      </c>
      <c r="U163" s="215" t="s">
        <v>194</v>
      </c>
    </row>
    <row r="164" spans="1:21" ht="28.2">
      <c r="A164" s="214"/>
      <c r="B164" s="230" t="s">
        <v>607</v>
      </c>
      <c r="C164" s="215" t="s">
        <v>131</v>
      </c>
      <c r="D164" s="256"/>
      <c r="E164" s="217" t="s">
        <v>628</v>
      </c>
      <c r="F164" s="232" t="s">
        <v>612</v>
      </c>
      <c r="G164" s="233">
        <v>2021</v>
      </c>
      <c r="H164" s="215"/>
      <c r="I164" s="215" t="s">
        <v>137</v>
      </c>
      <c r="J164" s="215" t="s">
        <v>137</v>
      </c>
      <c r="K164" s="215">
        <v>2023</v>
      </c>
      <c r="L164" s="227">
        <v>12500</v>
      </c>
      <c r="M164" s="222">
        <v>0.3</v>
      </c>
      <c r="N164" s="220">
        <f t="shared" si="0"/>
        <v>2374.6875</v>
      </c>
      <c r="O164" s="220">
        <f t="shared" si="1"/>
        <v>9498.75</v>
      </c>
      <c r="P164" s="220">
        <f t="shared" si="2"/>
        <v>3001.2499999999991</v>
      </c>
      <c r="Q164" s="215"/>
      <c r="R164" s="215"/>
      <c r="S164" s="233" t="s">
        <v>333</v>
      </c>
      <c r="T164" s="215" t="s">
        <v>139</v>
      </c>
      <c r="U164" s="215" t="s">
        <v>194</v>
      </c>
    </row>
    <row r="165" spans="1:21">
      <c r="A165" s="214"/>
      <c r="B165" s="230" t="s">
        <v>603</v>
      </c>
      <c r="C165" s="215" t="s">
        <v>131</v>
      </c>
      <c r="D165" s="256" t="s">
        <v>626</v>
      </c>
      <c r="E165" s="217" t="s">
        <v>629</v>
      </c>
      <c r="F165" s="232" t="s">
        <v>606</v>
      </c>
      <c r="G165" s="233">
        <v>2021</v>
      </c>
      <c r="H165" s="215"/>
      <c r="I165" s="215" t="s">
        <v>137</v>
      </c>
      <c r="J165" s="215" t="s">
        <v>137</v>
      </c>
      <c r="K165" s="215">
        <v>2023</v>
      </c>
      <c r="L165" s="227">
        <v>32500</v>
      </c>
      <c r="M165" s="222">
        <v>0.3</v>
      </c>
      <c r="N165" s="220">
        <f t="shared" si="0"/>
        <v>6174.1875000000009</v>
      </c>
      <c r="O165" s="220">
        <f t="shared" si="1"/>
        <v>24696.750000000004</v>
      </c>
      <c r="P165" s="220">
        <f t="shared" si="2"/>
        <v>7803.2499999999973</v>
      </c>
      <c r="Q165" s="215"/>
      <c r="R165" s="215"/>
      <c r="S165" s="233" t="s">
        <v>482</v>
      </c>
      <c r="T165" s="215" t="s">
        <v>139</v>
      </c>
      <c r="U165" s="215" t="s">
        <v>194</v>
      </c>
    </row>
    <row r="166" spans="1:21" ht="28.2">
      <c r="A166" s="214"/>
      <c r="B166" s="230" t="s">
        <v>607</v>
      </c>
      <c r="C166" s="215" t="s">
        <v>131</v>
      </c>
      <c r="D166" s="231"/>
      <c r="E166" s="217" t="s">
        <v>630</v>
      </c>
      <c r="F166" s="232" t="s">
        <v>612</v>
      </c>
      <c r="G166" s="233">
        <v>2021</v>
      </c>
      <c r="H166" s="215"/>
      <c r="I166" s="215" t="s">
        <v>137</v>
      </c>
      <c r="J166" s="215" t="s">
        <v>137</v>
      </c>
      <c r="K166" s="215">
        <v>2023</v>
      </c>
      <c r="L166" s="227">
        <v>12500</v>
      </c>
      <c r="M166" s="222">
        <v>0.3</v>
      </c>
      <c r="N166" s="220">
        <f t="shared" si="0"/>
        <v>2374.6875</v>
      </c>
      <c r="O166" s="220">
        <f t="shared" si="1"/>
        <v>9498.75</v>
      </c>
      <c r="P166" s="220">
        <f t="shared" si="2"/>
        <v>3001.2499999999991</v>
      </c>
      <c r="Q166" s="215"/>
      <c r="R166" s="215"/>
      <c r="S166" s="233" t="s">
        <v>455</v>
      </c>
      <c r="T166" s="215" t="s">
        <v>139</v>
      </c>
      <c r="U166" s="215" t="s">
        <v>194</v>
      </c>
    </row>
    <row r="167" spans="1:21" ht="28.2">
      <c r="A167" s="214"/>
      <c r="B167" s="230" t="s">
        <v>607</v>
      </c>
      <c r="C167" s="215" t="s">
        <v>131</v>
      </c>
      <c r="D167" s="231"/>
      <c r="E167" s="217" t="s">
        <v>631</v>
      </c>
      <c r="F167" s="232" t="s">
        <v>612</v>
      </c>
      <c r="G167" s="233">
        <v>2021</v>
      </c>
      <c r="H167" s="215"/>
      <c r="I167" s="215" t="s">
        <v>137</v>
      </c>
      <c r="J167" s="215" t="s">
        <v>137</v>
      </c>
      <c r="K167" s="215">
        <v>2023</v>
      </c>
      <c r="L167" s="227">
        <v>12500</v>
      </c>
      <c r="M167" s="222">
        <v>0.3</v>
      </c>
      <c r="N167" s="220">
        <f t="shared" si="0"/>
        <v>2374.6875</v>
      </c>
      <c r="O167" s="220">
        <f t="shared" si="1"/>
        <v>9498.75</v>
      </c>
      <c r="P167" s="220">
        <f t="shared" si="2"/>
        <v>3001.2499999999991</v>
      </c>
      <c r="Q167" s="215"/>
      <c r="R167" s="215"/>
      <c r="S167" s="233" t="s">
        <v>632</v>
      </c>
      <c r="T167" s="215" t="s">
        <v>139</v>
      </c>
      <c r="U167" s="215" t="s">
        <v>194</v>
      </c>
    </row>
    <row r="168" spans="1:21" ht="28.2">
      <c r="A168" s="214"/>
      <c r="B168" s="230" t="s">
        <v>607</v>
      </c>
      <c r="C168" s="215" t="s">
        <v>131</v>
      </c>
      <c r="D168" s="231"/>
      <c r="E168" s="217" t="s">
        <v>633</v>
      </c>
      <c r="F168" s="232" t="s">
        <v>612</v>
      </c>
      <c r="G168" s="233">
        <v>2021</v>
      </c>
      <c r="H168" s="215"/>
      <c r="I168" s="215" t="s">
        <v>137</v>
      </c>
      <c r="J168" s="215" t="s">
        <v>137</v>
      </c>
      <c r="K168" s="215">
        <v>2023</v>
      </c>
      <c r="L168" s="227">
        <v>12500</v>
      </c>
      <c r="M168" s="222">
        <v>0.3</v>
      </c>
      <c r="N168" s="220">
        <f t="shared" si="0"/>
        <v>2374.6875</v>
      </c>
      <c r="O168" s="220">
        <f t="shared" si="1"/>
        <v>9498.75</v>
      </c>
      <c r="P168" s="220">
        <f t="shared" si="2"/>
        <v>3001.2499999999991</v>
      </c>
      <c r="Q168" s="215"/>
      <c r="R168" s="215"/>
      <c r="S168" s="233" t="s">
        <v>363</v>
      </c>
      <c r="T168" s="215" t="s">
        <v>139</v>
      </c>
      <c r="U168" s="215" t="s">
        <v>194</v>
      </c>
    </row>
    <row r="169" spans="1:21" ht="28.2">
      <c r="A169" s="214"/>
      <c r="B169" s="230" t="s">
        <v>607</v>
      </c>
      <c r="C169" s="215" t="s">
        <v>131</v>
      </c>
      <c r="D169" s="231"/>
      <c r="E169" s="217" t="s">
        <v>634</v>
      </c>
      <c r="F169" s="232" t="s">
        <v>612</v>
      </c>
      <c r="G169" s="233">
        <v>2021</v>
      </c>
      <c r="H169" s="215"/>
      <c r="I169" s="215" t="s">
        <v>137</v>
      </c>
      <c r="J169" s="215" t="s">
        <v>137</v>
      </c>
      <c r="K169" s="215">
        <v>2023</v>
      </c>
      <c r="L169" s="227">
        <v>12500</v>
      </c>
      <c r="M169" s="222">
        <v>0.3</v>
      </c>
      <c r="N169" s="220">
        <f t="shared" si="0"/>
        <v>2374.6875</v>
      </c>
      <c r="O169" s="220">
        <f t="shared" si="1"/>
        <v>9498.75</v>
      </c>
      <c r="P169" s="220">
        <f t="shared" si="2"/>
        <v>3001.2499999999991</v>
      </c>
      <c r="Q169" s="215"/>
      <c r="R169" s="215"/>
      <c r="S169" s="233" t="s">
        <v>635</v>
      </c>
      <c r="T169" s="215" t="s">
        <v>139</v>
      </c>
      <c r="U169" s="215" t="s">
        <v>194</v>
      </c>
    </row>
    <row r="170" spans="1:21" ht="28.2">
      <c r="A170" s="214"/>
      <c r="B170" s="230" t="s">
        <v>607</v>
      </c>
      <c r="C170" s="215" t="s">
        <v>131</v>
      </c>
      <c r="D170" s="231"/>
      <c r="E170" s="217" t="s">
        <v>636</v>
      </c>
      <c r="F170" s="232" t="s">
        <v>612</v>
      </c>
      <c r="G170" s="233">
        <v>2021</v>
      </c>
      <c r="H170" s="215"/>
      <c r="I170" s="215" t="s">
        <v>137</v>
      </c>
      <c r="J170" s="215" t="s">
        <v>137</v>
      </c>
      <c r="K170" s="215">
        <v>2023</v>
      </c>
      <c r="L170" s="227">
        <v>12500</v>
      </c>
      <c r="M170" s="222">
        <v>0.3</v>
      </c>
      <c r="N170" s="220">
        <f t="shared" si="0"/>
        <v>2374.6875</v>
      </c>
      <c r="O170" s="220">
        <f t="shared" si="1"/>
        <v>9498.75</v>
      </c>
      <c r="P170" s="220">
        <f t="shared" si="2"/>
        <v>3001.2499999999991</v>
      </c>
      <c r="Q170" s="215"/>
      <c r="R170" s="215"/>
      <c r="S170" s="233" t="s">
        <v>336</v>
      </c>
      <c r="T170" s="215" t="s">
        <v>139</v>
      </c>
      <c r="U170" s="215" t="s">
        <v>194</v>
      </c>
    </row>
    <row r="171" spans="1:21" ht="28.2">
      <c r="A171" s="214"/>
      <c r="B171" s="230" t="s">
        <v>607</v>
      </c>
      <c r="C171" s="215" t="s">
        <v>131</v>
      </c>
      <c r="D171" s="231"/>
      <c r="E171" s="217" t="s">
        <v>637</v>
      </c>
      <c r="F171" s="232" t="s">
        <v>612</v>
      </c>
      <c r="G171" s="233">
        <v>2021</v>
      </c>
      <c r="H171" s="215"/>
      <c r="I171" s="215" t="s">
        <v>137</v>
      </c>
      <c r="J171" s="215" t="s">
        <v>137</v>
      </c>
      <c r="K171" s="215">
        <v>2023</v>
      </c>
      <c r="L171" s="227">
        <v>12500</v>
      </c>
      <c r="M171" s="222">
        <v>0.3</v>
      </c>
      <c r="N171" s="220">
        <f t="shared" si="0"/>
        <v>2374.6875</v>
      </c>
      <c r="O171" s="220">
        <f t="shared" si="1"/>
        <v>9498.75</v>
      </c>
      <c r="P171" s="220">
        <f t="shared" si="2"/>
        <v>3001.2499999999991</v>
      </c>
      <c r="Q171" s="215"/>
      <c r="R171" s="215"/>
      <c r="S171" s="233" t="s">
        <v>638</v>
      </c>
      <c r="T171" s="215" t="s">
        <v>139</v>
      </c>
      <c r="U171" s="215" t="s">
        <v>194</v>
      </c>
    </row>
    <row r="172" spans="1:21" ht="28.2">
      <c r="A172" s="214"/>
      <c r="B172" s="230" t="s">
        <v>607</v>
      </c>
      <c r="C172" s="215" t="s">
        <v>131</v>
      </c>
      <c r="D172" s="231"/>
      <c r="E172" s="217" t="s">
        <v>639</v>
      </c>
      <c r="F172" s="232" t="s">
        <v>612</v>
      </c>
      <c r="G172" s="233">
        <v>2021</v>
      </c>
      <c r="H172" s="215"/>
      <c r="I172" s="215" t="s">
        <v>137</v>
      </c>
      <c r="J172" s="215" t="s">
        <v>137</v>
      </c>
      <c r="K172" s="215">
        <v>2023</v>
      </c>
      <c r="L172" s="227">
        <v>12500</v>
      </c>
      <c r="M172" s="222">
        <v>0.3</v>
      </c>
      <c r="N172" s="220">
        <f t="shared" si="0"/>
        <v>2374.6875</v>
      </c>
      <c r="O172" s="220">
        <f t="shared" si="1"/>
        <v>9498.75</v>
      </c>
      <c r="P172" s="220">
        <f t="shared" si="2"/>
        <v>3001.2499999999991</v>
      </c>
      <c r="Q172" s="215"/>
      <c r="R172" s="215"/>
      <c r="S172" s="233" t="s">
        <v>338</v>
      </c>
      <c r="T172" s="215" t="s">
        <v>139</v>
      </c>
      <c r="U172" s="215" t="s">
        <v>194</v>
      </c>
    </row>
    <row r="173" spans="1:21" ht="28.2">
      <c r="A173" s="214"/>
      <c r="B173" s="230" t="s">
        <v>607</v>
      </c>
      <c r="C173" s="215" t="s">
        <v>131</v>
      </c>
      <c r="D173" s="231"/>
      <c r="E173" s="217" t="s">
        <v>640</v>
      </c>
      <c r="F173" s="232" t="s">
        <v>612</v>
      </c>
      <c r="G173" s="233">
        <v>2021</v>
      </c>
      <c r="H173" s="215"/>
      <c r="I173" s="215" t="s">
        <v>137</v>
      </c>
      <c r="J173" s="215" t="s">
        <v>137</v>
      </c>
      <c r="K173" s="215">
        <v>2023</v>
      </c>
      <c r="L173" s="227">
        <v>12500</v>
      </c>
      <c r="M173" s="222">
        <v>0.3</v>
      </c>
      <c r="N173" s="220">
        <f t="shared" si="0"/>
        <v>2374.6875</v>
      </c>
      <c r="O173" s="220">
        <f t="shared" si="1"/>
        <v>9498.75</v>
      </c>
      <c r="P173" s="220">
        <f t="shared" si="2"/>
        <v>3001.2499999999991</v>
      </c>
      <c r="Q173" s="215"/>
      <c r="R173" s="215"/>
      <c r="S173" s="233" t="s">
        <v>327</v>
      </c>
      <c r="T173" s="215" t="s">
        <v>139</v>
      </c>
      <c r="U173" s="215" t="s">
        <v>194</v>
      </c>
    </row>
    <row r="174" spans="1:21" ht="28.2">
      <c r="A174" s="214"/>
      <c r="B174" s="230" t="s">
        <v>607</v>
      </c>
      <c r="C174" s="215" t="s">
        <v>131</v>
      </c>
      <c r="D174" s="231"/>
      <c r="E174" s="217" t="s">
        <v>641</v>
      </c>
      <c r="F174" s="232" t="s">
        <v>612</v>
      </c>
      <c r="G174" s="233">
        <v>2021</v>
      </c>
      <c r="H174" s="215"/>
      <c r="I174" s="215" t="s">
        <v>137</v>
      </c>
      <c r="J174" s="215" t="s">
        <v>137</v>
      </c>
      <c r="K174" s="215">
        <v>2023</v>
      </c>
      <c r="L174" s="227">
        <v>12500</v>
      </c>
      <c r="M174" s="222">
        <v>0.3</v>
      </c>
      <c r="N174" s="220">
        <f t="shared" si="0"/>
        <v>2374.6875</v>
      </c>
      <c r="O174" s="220">
        <f t="shared" si="1"/>
        <v>9498.75</v>
      </c>
      <c r="P174" s="220">
        <f t="shared" si="2"/>
        <v>3001.2499999999991</v>
      </c>
      <c r="Q174" s="215"/>
      <c r="R174" s="215"/>
      <c r="S174" s="233" t="s">
        <v>381</v>
      </c>
      <c r="T174" s="215" t="s">
        <v>139</v>
      </c>
      <c r="U174" s="215" t="s">
        <v>194</v>
      </c>
    </row>
    <row r="175" spans="1:21" ht="28.2">
      <c r="A175" s="214"/>
      <c r="B175" s="230" t="s">
        <v>607</v>
      </c>
      <c r="C175" s="215" t="s">
        <v>131</v>
      </c>
      <c r="D175" s="231"/>
      <c r="E175" s="217" t="s">
        <v>642</v>
      </c>
      <c r="F175" s="232" t="s">
        <v>612</v>
      </c>
      <c r="G175" s="233">
        <v>2021</v>
      </c>
      <c r="H175" s="215"/>
      <c r="I175" s="215" t="s">
        <v>137</v>
      </c>
      <c r="J175" s="215" t="s">
        <v>137</v>
      </c>
      <c r="K175" s="215">
        <v>2023</v>
      </c>
      <c r="L175" s="227">
        <v>12500</v>
      </c>
      <c r="M175" s="222">
        <v>0.3</v>
      </c>
      <c r="N175" s="220">
        <f t="shared" si="0"/>
        <v>2374.6875</v>
      </c>
      <c r="O175" s="220">
        <f t="shared" si="1"/>
        <v>9498.75</v>
      </c>
      <c r="P175" s="220">
        <f t="shared" si="2"/>
        <v>3001.2499999999991</v>
      </c>
      <c r="Q175" s="215"/>
      <c r="R175" s="215"/>
      <c r="S175" s="233" t="s">
        <v>396</v>
      </c>
      <c r="T175" s="215" t="s">
        <v>139</v>
      </c>
      <c r="U175" s="215" t="s">
        <v>194</v>
      </c>
    </row>
    <row r="176" spans="1:21">
      <c r="A176" s="214"/>
      <c r="B176" s="230" t="s">
        <v>603</v>
      </c>
      <c r="C176" s="215" t="s">
        <v>131</v>
      </c>
      <c r="D176" s="231" t="s">
        <v>643</v>
      </c>
      <c r="E176" s="217" t="s">
        <v>644</v>
      </c>
      <c r="F176" s="232" t="s">
        <v>606</v>
      </c>
      <c r="G176" s="233">
        <v>2021</v>
      </c>
      <c r="H176" s="215"/>
      <c r="I176" s="215" t="s">
        <v>137</v>
      </c>
      <c r="J176" s="215" t="s">
        <v>137</v>
      </c>
      <c r="K176" s="215">
        <v>2023</v>
      </c>
      <c r="L176" s="227">
        <v>32500</v>
      </c>
      <c r="M176" s="222">
        <v>0.3</v>
      </c>
      <c r="N176" s="220">
        <f t="shared" si="0"/>
        <v>6174.1875000000009</v>
      </c>
      <c r="O176" s="220">
        <f t="shared" si="1"/>
        <v>24696.750000000004</v>
      </c>
      <c r="P176" s="220">
        <f t="shared" si="2"/>
        <v>7803.2499999999973</v>
      </c>
      <c r="Q176" s="215"/>
      <c r="R176" s="215"/>
      <c r="S176" s="233" t="s">
        <v>199</v>
      </c>
      <c r="T176" s="215" t="s">
        <v>139</v>
      </c>
      <c r="U176" s="215" t="s">
        <v>194</v>
      </c>
    </row>
    <row r="177" spans="1:21" ht="28.2">
      <c r="A177" s="214"/>
      <c r="B177" s="230" t="s">
        <v>607</v>
      </c>
      <c r="C177" s="215" t="s">
        <v>131</v>
      </c>
      <c r="D177" s="231"/>
      <c r="E177" s="217" t="s">
        <v>645</v>
      </c>
      <c r="F177" s="232" t="s">
        <v>612</v>
      </c>
      <c r="G177" s="233">
        <v>2021</v>
      </c>
      <c r="H177" s="215"/>
      <c r="I177" s="215" t="s">
        <v>137</v>
      </c>
      <c r="J177" s="215" t="s">
        <v>137</v>
      </c>
      <c r="K177" s="215">
        <v>2023</v>
      </c>
      <c r="L177" s="227">
        <v>12500</v>
      </c>
      <c r="M177" s="222">
        <v>0.3</v>
      </c>
      <c r="N177" s="220">
        <f t="shared" si="0"/>
        <v>2374.6875</v>
      </c>
      <c r="O177" s="220">
        <f t="shared" si="1"/>
        <v>9498.75</v>
      </c>
      <c r="P177" s="220">
        <f t="shared" si="2"/>
        <v>3001.2499999999991</v>
      </c>
      <c r="Q177" s="215"/>
      <c r="R177" s="215"/>
      <c r="S177" s="233" t="s">
        <v>646</v>
      </c>
      <c r="T177" s="215" t="s">
        <v>139</v>
      </c>
      <c r="U177" s="215" t="s">
        <v>194</v>
      </c>
    </row>
    <row r="178" spans="1:21" ht="28.2">
      <c r="A178" s="214"/>
      <c r="B178" s="230" t="s">
        <v>607</v>
      </c>
      <c r="C178" s="215" t="s">
        <v>131</v>
      </c>
      <c r="D178" s="231"/>
      <c r="E178" s="217" t="s">
        <v>647</v>
      </c>
      <c r="F178" s="232" t="s">
        <v>612</v>
      </c>
      <c r="G178" s="233">
        <v>2021</v>
      </c>
      <c r="H178" s="215"/>
      <c r="I178" s="215" t="s">
        <v>137</v>
      </c>
      <c r="J178" s="215" t="s">
        <v>137</v>
      </c>
      <c r="K178" s="215">
        <v>2023</v>
      </c>
      <c r="L178" s="227">
        <v>12500</v>
      </c>
      <c r="M178" s="222">
        <v>0.3</v>
      </c>
      <c r="N178" s="220">
        <f t="shared" si="0"/>
        <v>2374.6875</v>
      </c>
      <c r="O178" s="220">
        <f t="shared" si="1"/>
        <v>9498.75</v>
      </c>
      <c r="P178" s="220">
        <f t="shared" si="2"/>
        <v>3001.2499999999991</v>
      </c>
      <c r="Q178" s="215"/>
      <c r="R178" s="215"/>
      <c r="S178" s="233" t="s">
        <v>648</v>
      </c>
      <c r="T178" s="215" t="s">
        <v>139</v>
      </c>
      <c r="U178" s="215" t="s">
        <v>194</v>
      </c>
    </row>
    <row r="179" spans="1:21" ht="28.2">
      <c r="A179" s="214"/>
      <c r="B179" s="230" t="s">
        <v>607</v>
      </c>
      <c r="C179" s="215" t="s">
        <v>131</v>
      </c>
      <c r="D179" s="231"/>
      <c r="E179" s="217"/>
      <c r="F179" s="232" t="s">
        <v>612</v>
      </c>
      <c r="G179" s="233">
        <v>2021</v>
      </c>
      <c r="H179" s="215"/>
      <c r="I179" s="215" t="s">
        <v>137</v>
      </c>
      <c r="J179" s="215" t="s">
        <v>137</v>
      </c>
      <c r="K179" s="215">
        <v>2023</v>
      </c>
      <c r="L179" s="227">
        <v>12500</v>
      </c>
      <c r="M179" s="222">
        <v>0.3</v>
      </c>
      <c r="N179" s="220">
        <f t="shared" ref="N179:N219" si="3">O179/(2025-G179)</f>
        <v>2374.6875</v>
      </c>
      <c r="O179" s="220">
        <f t="shared" ref="O179:O219" si="4">L179-P179</f>
        <v>9498.75</v>
      </c>
      <c r="P179" s="220">
        <f t="shared" ref="P179:P222" si="5">L179*(1-M179)^(2025-G179)</f>
        <v>3001.2499999999991</v>
      </c>
      <c r="Q179" s="215"/>
      <c r="R179" s="215"/>
      <c r="S179" s="233" t="s">
        <v>340</v>
      </c>
      <c r="T179" s="215" t="s">
        <v>139</v>
      </c>
      <c r="U179" s="215" t="s">
        <v>194</v>
      </c>
    </row>
    <row r="180" spans="1:21" ht="28.2">
      <c r="A180" s="214"/>
      <c r="B180" s="230" t="s">
        <v>607</v>
      </c>
      <c r="C180" s="215" t="s">
        <v>131</v>
      </c>
      <c r="D180" s="231" t="s">
        <v>649</v>
      </c>
      <c r="E180" s="217" t="s">
        <v>650</v>
      </c>
      <c r="F180" s="232" t="s">
        <v>606</v>
      </c>
      <c r="G180" s="233">
        <v>2021</v>
      </c>
      <c r="H180" s="215"/>
      <c r="I180" s="215" t="s">
        <v>137</v>
      </c>
      <c r="J180" s="215" t="s">
        <v>137</v>
      </c>
      <c r="K180" s="215">
        <v>2023</v>
      </c>
      <c r="L180" s="227">
        <v>32500</v>
      </c>
      <c r="M180" s="222">
        <v>0.3</v>
      </c>
      <c r="N180" s="220">
        <f t="shared" si="3"/>
        <v>6174.1875000000009</v>
      </c>
      <c r="O180" s="220">
        <f t="shared" si="4"/>
        <v>24696.750000000004</v>
      </c>
      <c r="P180" s="220">
        <f t="shared" si="5"/>
        <v>7803.2499999999973</v>
      </c>
      <c r="Q180" s="215"/>
      <c r="R180" s="215"/>
      <c r="S180" s="233" t="s">
        <v>235</v>
      </c>
      <c r="T180" s="215" t="s">
        <v>139</v>
      </c>
      <c r="U180" s="215" t="s">
        <v>194</v>
      </c>
    </row>
    <row r="181" spans="1:21" ht="28.2">
      <c r="A181" s="214"/>
      <c r="B181" s="230" t="s">
        <v>607</v>
      </c>
      <c r="C181" s="215" t="s">
        <v>131</v>
      </c>
      <c r="D181" s="231"/>
      <c r="E181" s="217" t="s">
        <v>651</v>
      </c>
      <c r="F181" s="232" t="s">
        <v>606</v>
      </c>
      <c r="G181" s="233">
        <v>2021</v>
      </c>
      <c r="H181" s="215"/>
      <c r="I181" s="215" t="s">
        <v>137</v>
      </c>
      <c r="J181" s="215" t="s">
        <v>137</v>
      </c>
      <c r="K181" s="215">
        <v>2023</v>
      </c>
      <c r="L181" s="227">
        <v>32500</v>
      </c>
      <c r="M181" s="222">
        <v>0.3</v>
      </c>
      <c r="N181" s="220">
        <f t="shared" si="3"/>
        <v>6174.1875000000009</v>
      </c>
      <c r="O181" s="220">
        <f t="shared" si="4"/>
        <v>24696.750000000004</v>
      </c>
      <c r="P181" s="220">
        <f t="shared" si="5"/>
        <v>7803.2499999999973</v>
      </c>
      <c r="Q181" s="215"/>
      <c r="R181" s="215"/>
      <c r="S181" s="233" t="s">
        <v>409</v>
      </c>
      <c r="T181" s="215" t="s">
        <v>139</v>
      </c>
      <c r="U181" s="215" t="s">
        <v>194</v>
      </c>
    </row>
    <row r="182" spans="1:21" ht="28.2">
      <c r="A182" s="214"/>
      <c r="B182" s="230" t="s">
        <v>607</v>
      </c>
      <c r="C182" s="215" t="s">
        <v>131</v>
      </c>
      <c r="D182" s="231"/>
      <c r="E182" s="217" t="s">
        <v>652</v>
      </c>
      <c r="F182" s="232" t="s">
        <v>606</v>
      </c>
      <c r="G182" s="233">
        <v>2021</v>
      </c>
      <c r="H182" s="215"/>
      <c r="I182" s="215" t="s">
        <v>137</v>
      </c>
      <c r="J182" s="215" t="s">
        <v>137</v>
      </c>
      <c r="K182" s="215">
        <v>2023</v>
      </c>
      <c r="L182" s="227">
        <v>32500</v>
      </c>
      <c r="M182" s="222">
        <v>0.3</v>
      </c>
      <c r="N182" s="220">
        <f t="shared" si="3"/>
        <v>6174.1875000000009</v>
      </c>
      <c r="O182" s="220">
        <f t="shared" si="4"/>
        <v>24696.750000000004</v>
      </c>
      <c r="P182" s="220">
        <f t="shared" si="5"/>
        <v>7803.2499999999973</v>
      </c>
      <c r="Q182" s="215"/>
      <c r="R182" s="215"/>
      <c r="S182" s="233" t="s">
        <v>409</v>
      </c>
      <c r="T182" s="215" t="s">
        <v>139</v>
      </c>
      <c r="U182" s="215" t="s">
        <v>194</v>
      </c>
    </row>
    <row r="183" spans="1:21" ht="28.2">
      <c r="A183" s="214"/>
      <c r="B183" s="230" t="s">
        <v>607</v>
      </c>
      <c r="C183" s="215" t="s">
        <v>131</v>
      </c>
      <c r="D183" s="231"/>
      <c r="E183" s="217" t="s">
        <v>653</v>
      </c>
      <c r="F183" s="232" t="s">
        <v>612</v>
      </c>
      <c r="G183" s="233">
        <v>2021</v>
      </c>
      <c r="H183" s="215"/>
      <c r="I183" s="215" t="s">
        <v>137</v>
      </c>
      <c r="J183" s="215" t="s">
        <v>137</v>
      </c>
      <c r="K183" s="215">
        <v>2023</v>
      </c>
      <c r="L183" s="227">
        <v>12500</v>
      </c>
      <c r="M183" s="222">
        <v>0.3</v>
      </c>
      <c r="N183" s="220">
        <f t="shared" si="3"/>
        <v>2374.6875</v>
      </c>
      <c r="O183" s="220">
        <f t="shared" si="4"/>
        <v>9498.75</v>
      </c>
      <c r="P183" s="220">
        <f t="shared" si="5"/>
        <v>3001.2499999999991</v>
      </c>
      <c r="Q183" s="215"/>
      <c r="R183" s="215"/>
      <c r="S183" s="233" t="s">
        <v>654</v>
      </c>
      <c r="T183" s="215" t="s">
        <v>139</v>
      </c>
      <c r="U183" s="215" t="s">
        <v>194</v>
      </c>
    </row>
    <row r="184" spans="1:21" ht="28.2">
      <c r="A184" s="214"/>
      <c r="B184" s="230" t="s">
        <v>607</v>
      </c>
      <c r="C184" s="215" t="s">
        <v>131</v>
      </c>
      <c r="D184" s="231"/>
      <c r="E184" s="217" t="s">
        <v>655</v>
      </c>
      <c r="F184" s="232" t="s">
        <v>612</v>
      </c>
      <c r="G184" s="233">
        <v>2021</v>
      </c>
      <c r="H184" s="215"/>
      <c r="I184" s="215" t="s">
        <v>137</v>
      </c>
      <c r="J184" s="215" t="s">
        <v>137</v>
      </c>
      <c r="K184" s="215">
        <v>2023</v>
      </c>
      <c r="L184" s="227">
        <v>12500</v>
      </c>
      <c r="M184" s="222">
        <v>0.3</v>
      </c>
      <c r="N184" s="220">
        <f t="shared" si="3"/>
        <v>2374.6875</v>
      </c>
      <c r="O184" s="220">
        <f t="shared" si="4"/>
        <v>9498.75</v>
      </c>
      <c r="P184" s="220">
        <f t="shared" si="5"/>
        <v>3001.2499999999991</v>
      </c>
      <c r="Q184" s="215"/>
      <c r="R184" s="215"/>
      <c r="S184" s="233" t="s">
        <v>214</v>
      </c>
      <c r="T184" s="215" t="s">
        <v>139</v>
      </c>
      <c r="U184" s="215" t="s">
        <v>194</v>
      </c>
    </row>
    <row r="185" spans="1:21" ht="28.2">
      <c r="A185" s="214"/>
      <c r="B185" s="230" t="s">
        <v>607</v>
      </c>
      <c r="C185" s="215" t="s">
        <v>131</v>
      </c>
      <c r="D185" s="231"/>
      <c r="E185" s="217" t="s">
        <v>656</v>
      </c>
      <c r="F185" s="232" t="s">
        <v>612</v>
      </c>
      <c r="G185" s="233">
        <v>2021</v>
      </c>
      <c r="H185" s="215"/>
      <c r="I185" s="215" t="s">
        <v>137</v>
      </c>
      <c r="J185" s="215" t="s">
        <v>137</v>
      </c>
      <c r="K185" s="215">
        <v>2023</v>
      </c>
      <c r="L185" s="227">
        <v>12500</v>
      </c>
      <c r="M185" s="222">
        <v>0.3</v>
      </c>
      <c r="N185" s="220">
        <f t="shared" si="3"/>
        <v>2374.6875</v>
      </c>
      <c r="O185" s="220">
        <f t="shared" si="4"/>
        <v>9498.75</v>
      </c>
      <c r="P185" s="220">
        <f t="shared" si="5"/>
        <v>3001.2499999999991</v>
      </c>
      <c r="Q185" s="215"/>
      <c r="R185" s="215"/>
      <c r="S185" s="233" t="s">
        <v>319</v>
      </c>
      <c r="T185" s="215" t="s">
        <v>139</v>
      </c>
      <c r="U185" s="215" t="s">
        <v>194</v>
      </c>
    </row>
    <row r="186" spans="1:21" ht="28.2">
      <c r="A186" s="214"/>
      <c r="B186" s="230" t="s">
        <v>607</v>
      </c>
      <c r="C186" s="215" t="s">
        <v>131</v>
      </c>
      <c r="D186" s="231"/>
      <c r="E186" s="217" t="s">
        <v>657</v>
      </c>
      <c r="F186" s="232" t="s">
        <v>612</v>
      </c>
      <c r="G186" s="233">
        <v>2021</v>
      </c>
      <c r="H186" s="215"/>
      <c r="I186" s="215" t="s">
        <v>137</v>
      </c>
      <c r="J186" s="215" t="s">
        <v>137</v>
      </c>
      <c r="K186" s="215">
        <v>2023</v>
      </c>
      <c r="L186" s="227">
        <v>12500</v>
      </c>
      <c r="M186" s="222">
        <v>0.3</v>
      </c>
      <c r="N186" s="220">
        <f t="shared" si="3"/>
        <v>2374.6875</v>
      </c>
      <c r="O186" s="220">
        <f t="shared" si="4"/>
        <v>9498.75</v>
      </c>
      <c r="P186" s="220">
        <f t="shared" si="5"/>
        <v>3001.2499999999991</v>
      </c>
      <c r="Q186" s="215"/>
      <c r="R186" s="215"/>
      <c r="S186" s="233" t="s">
        <v>451</v>
      </c>
      <c r="T186" s="215" t="s">
        <v>139</v>
      </c>
      <c r="U186" s="215" t="s">
        <v>194</v>
      </c>
    </row>
    <row r="187" spans="1:21" ht="28.2">
      <c r="A187" s="214"/>
      <c r="B187" s="230" t="s">
        <v>607</v>
      </c>
      <c r="C187" s="215" t="s">
        <v>131</v>
      </c>
      <c r="D187" s="231"/>
      <c r="E187" s="217" t="s">
        <v>658</v>
      </c>
      <c r="F187" s="232" t="s">
        <v>612</v>
      </c>
      <c r="G187" s="233">
        <v>2021</v>
      </c>
      <c r="H187" s="215"/>
      <c r="I187" s="215" t="s">
        <v>137</v>
      </c>
      <c r="J187" s="215" t="s">
        <v>137</v>
      </c>
      <c r="K187" s="215">
        <v>2023</v>
      </c>
      <c r="L187" s="227">
        <v>12500</v>
      </c>
      <c r="M187" s="222">
        <v>0.3</v>
      </c>
      <c r="N187" s="220">
        <f t="shared" si="3"/>
        <v>2374.6875</v>
      </c>
      <c r="O187" s="220">
        <f t="shared" si="4"/>
        <v>9498.75</v>
      </c>
      <c r="P187" s="220">
        <f t="shared" si="5"/>
        <v>3001.2499999999991</v>
      </c>
      <c r="Q187" s="215"/>
      <c r="R187" s="215"/>
      <c r="S187" s="233" t="s">
        <v>237</v>
      </c>
      <c r="T187" s="215" t="s">
        <v>139</v>
      </c>
      <c r="U187" s="215" t="s">
        <v>194</v>
      </c>
    </row>
    <row r="188" spans="1:21">
      <c r="A188" s="214"/>
      <c r="B188" s="230" t="s">
        <v>603</v>
      </c>
      <c r="C188" s="215" t="s">
        <v>131</v>
      </c>
      <c r="D188" s="231" t="s">
        <v>659</v>
      </c>
      <c r="E188" s="217" t="s">
        <v>660</v>
      </c>
      <c r="F188" s="232" t="s">
        <v>606</v>
      </c>
      <c r="G188" s="233">
        <v>2021</v>
      </c>
      <c r="H188" s="215"/>
      <c r="I188" s="215" t="s">
        <v>137</v>
      </c>
      <c r="J188" s="215" t="s">
        <v>137</v>
      </c>
      <c r="K188" s="215">
        <v>2023</v>
      </c>
      <c r="L188" s="227">
        <v>32500</v>
      </c>
      <c r="M188" s="222">
        <v>0.3</v>
      </c>
      <c r="N188" s="220">
        <f t="shared" si="3"/>
        <v>6174.1875000000009</v>
      </c>
      <c r="O188" s="220">
        <f t="shared" si="4"/>
        <v>24696.750000000004</v>
      </c>
      <c r="P188" s="220">
        <f t="shared" si="5"/>
        <v>7803.2499999999973</v>
      </c>
      <c r="Q188" s="215"/>
      <c r="R188" s="215"/>
      <c r="S188" s="233" t="s">
        <v>198</v>
      </c>
      <c r="T188" s="215" t="s">
        <v>139</v>
      </c>
      <c r="U188" s="215" t="s">
        <v>194</v>
      </c>
    </row>
    <row r="189" spans="1:21" ht="28.2">
      <c r="A189" s="214"/>
      <c r="B189" s="230" t="s">
        <v>607</v>
      </c>
      <c r="C189" s="215" t="s">
        <v>131</v>
      </c>
      <c r="D189" s="231"/>
      <c r="E189" s="217" t="s">
        <v>661</v>
      </c>
      <c r="F189" s="232" t="s">
        <v>612</v>
      </c>
      <c r="G189" s="233">
        <v>2021</v>
      </c>
      <c r="H189" s="215"/>
      <c r="I189" s="215" t="s">
        <v>137</v>
      </c>
      <c r="J189" s="215" t="s">
        <v>137</v>
      </c>
      <c r="K189" s="215">
        <v>2023</v>
      </c>
      <c r="L189" s="227">
        <v>12500</v>
      </c>
      <c r="M189" s="222">
        <v>0.3</v>
      </c>
      <c r="N189" s="220">
        <f t="shared" si="3"/>
        <v>2374.6875</v>
      </c>
      <c r="O189" s="220">
        <f t="shared" si="4"/>
        <v>9498.75</v>
      </c>
      <c r="P189" s="220">
        <f t="shared" si="5"/>
        <v>3001.2499999999991</v>
      </c>
      <c r="Q189" s="215"/>
      <c r="R189" s="215"/>
      <c r="S189" s="233" t="s">
        <v>443</v>
      </c>
      <c r="T189" s="215" t="s">
        <v>139</v>
      </c>
      <c r="U189" s="215" t="s">
        <v>194</v>
      </c>
    </row>
    <row r="190" spans="1:21" ht="28.2">
      <c r="A190" s="214"/>
      <c r="B190" s="230" t="s">
        <v>607</v>
      </c>
      <c r="C190" s="215" t="s">
        <v>131</v>
      </c>
      <c r="D190" s="231"/>
      <c r="E190" s="217" t="s">
        <v>662</v>
      </c>
      <c r="F190" s="232" t="s">
        <v>612</v>
      </c>
      <c r="G190" s="233">
        <v>2021</v>
      </c>
      <c r="H190" s="215"/>
      <c r="I190" s="215" t="s">
        <v>137</v>
      </c>
      <c r="J190" s="215" t="s">
        <v>137</v>
      </c>
      <c r="K190" s="215">
        <v>2023</v>
      </c>
      <c r="L190" s="227">
        <v>12500</v>
      </c>
      <c r="M190" s="222">
        <v>0.3</v>
      </c>
      <c r="N190" s="220">
        <f t="shared" si="3"/>
        <v>2374.6875</v>
      </c>
      <c r="O190" s="220">
        <f t="shared" si="4"/>
        <v>9498.75</v>
      </c>
      <c r="P190" s="220">
        <f t="shared" si="5"/>
        <v>3001.2499999999991</v>
      </c>
      <c r="Q190" s="215"/>
      <c r="R190" s="215"/>
      <c r="S190" s="233" t="s">
        <v>441</v>
      </c>
      <c r="T190" s="215" t="s">
        <v>139</v>
      </c>
      <c r="U190" s="215" t="s">
        <v>194</v>
      </c>
    </row>
    <row r="191" spans="1:21" ht="28.2">
      <c r="A191" s="214"/>
      <c r="B191" s="230" t="s">
        <v>607</v>
      </c>
      <c r="C191" s="215" t="s">
        <v>131</v>
      </c>
      <c r="D191" s="231"/>
      <c r="E191" s="217" t="s">
        <v>663</v>
      </c>
      <c r="F191" s="232" t="s">
        <v>612</v>
      </c>
      <c r="G191" s="233">
        <v>2021</v>
      </c>
      <c r="H191" s="215"/>
      <c r="I191" s="215" t="s">
        <v>137</v>
      </c>
      <c r="J191" s="215" t="s">
        <v>137</v>
      </c>
      <c r="K191" s="215">
        <v>2023</v>
      </c>
      <c r="L191" s="227">
        <v>12500</v>
      </c>
      <c r="M191" s="222">
        <v>0.3</v>
      </c>
      <c r="N191" s="220">
        <f t="shared" si="3"/>
        <v>2374.6875</v>
      </c>
      <c r="O191" s="220">
        <f t="shared" si="4"/>
        <v>9498.75</v>
      </c>
      <c r="P191" s="220">
        <f t="shared" si="5"/>
        <v>3001.2499999999991</v>
      </c>
      <c r="Q191" s="215"/>
      <c r="R191" s="215"/>
      <c r="S191" s="233" t="s">
        <v>438</v>
      </c>
      <c r="T191" s="215" t="s">
        <v>139</v>
      </c>
      <c r="U191" s="215" t="s">
        <v>194</v>
      </c>
    </row>
    <row r="192" spans="1:21" ht="28.2">
      <c r="A192" s="214"/>
      <c r="B192" s="230" t="s">
        <v>607</v>
      </c>
      <c r="C192" s="215" t="s">
        <v>131</v>
      </c>
      <c r="D192" s="231"/>
      <c r="E192" s="217" t="s">
        <v>664</v>
      </c>
      <c r="F192" s="232" t="s">
        <v>612</v>
      </c>
      <c r="G192" s="233">
        <v>2021</v>
      </c>
      <c r="H192" s="215"/>
      <c r="I192" s="215" t="s">
        <v>137</v>
      </c>
      <c r="J192" s="215" t="s">
        <v>137</v>
      </c>
      <c r="K192" s="215">
        <v>2023</v>
      </c>
      <c r="L192" s="227">
        <v>12500</v>
      </c>
      <c r="M192" s="222">
        <v>0.3</v>
      </c>
      <c r="N192" s="220">
        <f t="shared" si="3"/>
        <v>2374.6875</v>
      </c>
      <c r="O192" s="220">
        <f t="shared" si="4"/>
        <v>9498.75</v>
      </c>
      <c r="P192" s="220">
        <f t="shared" si="5"/>
        <v>3001.2499999999991</v>
      </c>
      <c r="Q192" s="215"/>
      <c r="R192" s="215"/>
      <c r="S192" s="233" t="s">
        <v>310</v>
      </c>
      <c r="T192" s="215" t="s">
        <v>139</v>
      </c>
      <c r="U192" s="215" t="s">
        <v>194</v>
      </c>
    </row>
    <row r="193" spans="1:21" ht="28.2">
      <c r="A193" s="214"/>
      <c r="B193" s="230" t="s">
        <v>607</v>
      </c>
      <c r="C193" s="215" t="s">
        <v>131</v>
      </c>
      <c r="D193" s="231"/>
      <c r="E193" s="217" t="s">
        <v>665</v>
      </c>
      <c r="F193" s="232" t="s">
        <v>612</v>
      </c>
      <c r="G193" s="233">
        <v>2021</v>
      </c>
      <c r="H193" s="215"/>
      <c r="I193" s="215" t="s">
        <v>137</v>
      </c>
      <c r="J193" s="215" t="s">
        <v>137</v>
      </c>
      <c r="K193" s="215">
        <v>2023</v>
      </c>
      <c r="L193" s="227">
        <v>12500</v>
      </c>
      <c r="M193" s="222">
        <v>0.3</v>
      </c>
      <c r="N193" s="220">
        <f t="shared" si="3"/>
        <v>2374.6875</v>
      </c>
      <c r="O193" s="220">
        <f t="shared" si="4"/>
        <v>9498.75</v>
      </c>
      <c r="P193" s="220">
        <f t="shared" si="5"/>
        <v>3001.2499999999991</v>
      </c>
      <c r="Q193" s="215"/>
      <c r="R193" s="215"/>
      <c r="S193" s="233" t="s">
        <v>666</v>
      </c>
      <c r="T193" s="215" t="s">
        <v>139</v>
      </c>
      <c r="U193" s="215" t="s">
        <v>194</v>
      </c>
    </row>
    <row r="194" spans="1:21" ht="28.2">
      <c r="A194" s="214"/>
      <c r="B194" s="230" t="s">
        <v>607</v>
      </c>
      <c r="C194" s="215" t="s">
        <v>131</v>
      </c>
      <c r="D194" s="231"/>
      <c r="E194" s="217" t="s">
        <v>667</v>
      </c>
      <c r="F194" s="232" t="s">
        <v>612</v>
      </c>
      <c r="G194" s="233">
        <v>2021</v>
      </c>
      <c r="H194" s="215"/>
      <c r="I194" s="215" t="s">
        <v>137</v>
      </c>
      <c r="J194" s="215" t="s">
        <v>137</v>
      </c>
      <c r="K194" s="215">
        <v>2023</v>
      </c>
      <c r="L194" s="227">
        <v>12500</v>
      </c>
      <c r="M194" s="222">
        <v>0.3</v>
      </c>
      <c r="N194" s="220">
        <f t="shared" si="3"/>
        <v>2374.6875</v>
      </c>
      <c r="O194" s="220">
        <f t="shared" si="4"/>
        <v>9498.75</v>
      </c>
      <c r="P194" s="220">
        <f t="shared" si="5"/>
        <v>3001.2499999999991</v>
      </c>
      <c r="Q194" s="215"/>
      <c r="R194" s="215"/>
      <c r="S194" s="233" t="s">
        <v>239</v>
      </c>
      <c r="T194" s="215" t="s">
        <v>139</v>
      </c>
      <c r="U194" s="215" t="s">
        <v>194</v>
      </c>
    </row>
    <row r="195" spans="1:21">
      <c r="A195" s="214"/>
      <c r="B195" s="230" t="s">
        <v>603</v>
      </c>
      <c r="C195" s="215" t="s">
        <v>131</v>
      </c>
      <c r="D195" s="231" t="s">
        <v>668</v>
      </c>
      <c r="E195" s="217" t="s">
        <v>669</v>
      </c>
      <c r="F195" s="232" t="s">
        <v>606</v>
      </c>
      <c r="G195" s="233">
        <v>2021</v>
      </c>
      <c r="H195" s="215"/>
      <c r="I195" s="215" t="s">
        <v>137</v>
      </c>
      <c r="J195" s="215" t="s">
        <v>137</v>
      </c>
      <c r="K195" s="215">
        <v>2023</v>
      </c>
      <c r="L195" s="227">
        <v>32500</v>
      </c>
      <c r="M195" s="222">
        <v>0.3</v>
      </c>
      <c r="N195" s="220">
        <f t="shared" si="3"/>
        <v>6174.1875000000009</v>
      </c>
      <c r="O195" s="220">
        <f t="shared" si="4"/>
        <v>24696.750000000004</v>
      </c>
      <c r="P195" s="220">
        <f t="shared" si="5"/>
        <v>7803.2499999999973</v>
      </c>
      <c r="Q195" s="215"/>
      <c r="R195" s="215"/>
      <c r="S195" s="233" t="s">
        <v>416</v>
      </c>
      <c r="T195" s="215" t="s">
        <v>139</v>
      </c>
      <c r="U195" s="215" t="s">
        <v>194</v>
      </c>
    </row>
    <row r="196" spans="1:21">
      <c r="A196" s="214"/>
      <c r="B196" s="230" t="s">
        <v>603</v>
      </c>
      <c r="C196" s="215" t="s">
        <v>131</v>
      </c>
      <c r="D196" s="231" t="s">
        <v>670</v>
      </c>
      <c r="E196" s="217" t="s">
        <v>671</v>
      </c>
      <c r="F196" s="232" t="s">
        <v>606</v>
      </c>
      <c r="G196" s="233">
        <v>2021</v>
      </c>
      <c r="H196" s="215"/>
      <c r="I196" s="215" t="s">
        <v>137</v>
      </c>
      <c r="J196" s="215" t="s">
        <v>137</v>
      </c>
      <c r="K196" s="215">
        <v>2023</v>
      </c>
      <c r="L196" s="227">
        <v>32500</v>
      </c>
      <c r="M196" s="222">
        <v>0.3</v>
      </c>
      <c r="N196" s="220">
        <f t="shared" si="3"/>
        <v>6174.1875000000009</v>
      </c>
      <c r="O196" s="220">
        <f t="shared" si="4"/>
        <v>24696.750000000004</v>
      </c>
      <c r="P196" s="220">
        <f t="shared" si="5"/>
        <v>7803.2499999999973</v>
      </c>
      <c r="Q196" s="215"/>
      <c r="R196" s="215"/>
      <c r="S196" s="233" t="s">
        <v>469</v>
      </c>
      <c r="T196" s="215" t="s">
        <v>139</v>
      </c>
      <c r="U196" s="215" t="s">
        <v>194</v>
      </c>
    </row>
    <row r="197" spans="1:21">
      <c r="A197" s="214"/>
      <c r="B197" s="230" t="s">
        <v>603</v>
      </c>
      <c r="C197" s="215" t="s">
        <v>131</v>
      </c>
      <c r="D197" s="231" t="s">
        <v>672</v>
      </c>
      <c r="E197" s="217" t="s">
        <v>673</v>
      </c>
      <c r="F197" s="232" t="s">
        <v>606</v>
      </c>
      <c r="G197" s="233">
        <v>2021</v>
      </c>
      <c r="H197" s="215"/>
      <c r="I197" s="215" t="s">
        <v>137</v>
      </c>
      <c r="J197" s="215" t="s">
        <v>137</v>
      </c>
      <c r="K197" s="215">
        <v>2023</v>
      </c>
      <c r="L197" s="227">
        <v>32500</v>
      </c>
      <c r="M197" s="222">
        <v>0.3</v>
      </c>
      <c r="N197" s="220">
        <f t="shared" si="3"/>
        <v>6174.1875000000009</v>
      </c>
      <c r="O197" s="220">
        <f t="shared" si="4"/>
        <v>24696.750000000004</v>
      </c>
      <c r="P197" s="220">
        <f t="shared" si="5"/>
        <v>7803.2499999999973</v>
      </c>
      <c r="Q197" s="215"/>
      <c r="R197" s="215"/>
      <c r="S197" s="233" t="s">
        <v>674</v>
      </c>
      <c r="T197" s="215" t="s">
        <v>139</v>
      </c>
      <c r="U197" s="215" t="s">
        <v>194</v>
      </c>
    </row>
    <row r="198" spans="1:21">
      <c r="A198" s="214"/>
      <c r="B198" s="230" t="s">
        <v>603</v>
      </c>
      <c r="C198" s="215" t="s">
        <v>131</v>
      </c>
      <c r="D198" s="231" t="s">
        <v>675</v>
      </c>
      <c r="E198" s="217" t="s">
        <v>676</v>
      </c>
      <c r="F198" s="232" t="s">
        <v>606</v>
      </c>
      <c r="G198" s="233">
        <v>2021</v>
      </c>
      <c r="H198" s="215"/>
      <c r="I198" s="215" t="s">
        <v>137</v>
      </c>
      <c r="J198" s="215" t="s">
        <v>137</v>
      </c>
      <c r="K198" s="215">
        <v>2023</v>
      </c>
      <c r="L198" s="227">
        <v>32500</v>
      </c>
      <c r="M198" s="222">
        <v>0.3</v>
      </c>
      <c r="N198" s="220">
        <f t="shared" si="3"/>
        <v>6174.1875000000009</v>
      </c>
      <c r="O198" s="220">
        <f t="shared" si="4"/>
        <v>24696.750000000004</v>
      </c>
      <c r="P198" s="220">
        <f t="shared" si="5"/>
        <v>7803.2499999999973</v>
      </c>
      <c r="Q198" s="215"/>
      <c r="R198" s="215"/>
      <c r="S198" s="233" t="s">
        <v>677</v>
      </c>
      <c r="T198" s="215" t="s">
        <v>139</v>
      </c>
      <c r="U198" s="215" t="s">
        <v>194</v>
      </c>
    </row>
    <row r="199" spans="1:21" ht="28.2">
      <c r="A199" s="214"/>
      <c r="B199" s="230" t="s">
        <v>607</v>
      </c>
      <c r="C199" s="215" t="s">
        <v>131</v>
      </c>
      <c r="D199" s="231"/>
      <c r="E199" s="217" t="s">
        <v>678</v>
      </c>
      <c r="F199" s="232" t="s">
        <v>612</v>
      </c>
      <c r="G199" s="233">
        <v>2021</v>
      </c>
      <c r="H199" s="215"/>
      <c r="I199" s="215" t="s">
        <v>137</v>
      </c>
      <c r="J199" s="215" t="s">
        <v>137</v>
      </c>
      <c r="K199" s="215">
        <v>2023</v>
      </c>
      <c r="L199" s="227">
        <v>12500</v>
      </c>
      <c r="M199" s="222">
        <v>0.3</v>
      </c>
      <c r="N199" s="220">
        <f t="shared" si="3"/>
        <v>2374.6875</v>
      </c>
      <c r="O199" s="220">
        <f t="shared" si="4"/>
        <v>9498.75</v>
      </c>
      <c r="P199" s="220">
        <f t="shared" si="5"/>
        <v>3001.2499999999991</v>
      </c>
      <c r="Q199" s="215"/>
      <c r="R199" s="215"/>
      <c r="S199" s="233" t="s">
        <v>679</v>
      </c>
      <c r="T199" s="215" t="s">
        <v>139</v>
      </c>
      <c r="U199" s="215" t="s">
        <v>194</v>
      </c>
    </row>
    <row r="200" spans="1:21">
      <c r="A200" s="214"/>
      <c r="B200" s="230" t="s">
        <v>603</v>
      </c>
      <c r="C200" s="215" t="s">
        <v>131</v>
      </c>
      <c r="D200" s="231" t="s">
        <v>680</v>
      </c>
      <c r="E200" s="217" t="s">
        <v>681</v>
      </c>
      <c r="F200" s="232" t="s">
        <v>606</v>
      </c>
      <c r="G200" s="233">
        <v>2021</v>
      </c>
      <c r="H200" s="215"/>
      <c r="I200" s="215" t="s">
        <v>137</v>
      </c>
      <c r="J200" s="215" t="s">
        <v>137</v>
      </c>
      <c r="K200" s="215">
        <v>2023</v>
      </c>
      <c r="L200" s="227">
        <v>32500</v>
      </c>
      <c r="M200" s="222">
        <v>0.3</v>
      </c>
      <c r="N200" s="220">
        <f t="shared" si="3"/>
        <v>6174.1875000000009</v>
      </c>
      <c r="O200" s="220">
        <f t="shared" si="4"/>
        <v>24696.750000000004</v>
      </c>
      <c r="P200" s="220">
        <f t="shared" si="5"/>
        <v>7803.2499999999973</v>
      </c>
      <c r="Q200" s="215"/>
      <c r="R200" s="215"/>
      <c r="S200" s="233" t="s">
        <v>250</v>
      </c>
      <c r="T200" s="215" t="s">
        <v>139</v>
      </c>
      <c r="U200" s="215" t="s">
        <v>194</v>
      </c>
    </row>
    <row r="201" spans="1:21">
      <c r="A201" s="214"/>
      <c r="B201" s="230" t="s">
        <v>603</v>
      </c>
      <c r="C201" s="215" t="s">
        <v>131</v>
      </c>
      <c r="D201" s="231"/>
      <c r="E201" s="217" t="s">
        <v>682</v>
      </c>
      <c r="F201" s="232" t="s">
        <v>606</v>
      </c>
      <c r="G201" s="233">
        <v>2021</v>
      </c>
      <c r="H201" s="215"/>
      <c r="I201" s="215" t="s">
        <v>189</v>
      </c>
      <c r="J201" s="215" t="s">
        <v>189</v>
      </c>
      <c r="K201" s="215">
        <v>2023</v>
      </c>
      <c r="L201" s="227">
        <v>32500</v>
      </c>
      <c r="M201" s="222">
        <v>0.3</v>
      </c>
      <c r="N201" s="220">
        <f t="shared" si="3"/>
        <v>6174.1875000000009</v>
      </c>
      <c r="O201" s="220">
        <f t="shared" si="4"/>
        <v>24696.750000000004</v>
      </c>
      <c r="P201" s="220">
        <f t="shared" si="5"/>
        <v>7803.2499999999973</v>
      </c>
      <c r="Q201" s="215"/>
      <c r="R201" s="215"/>
      <c r="S201" s="233" t="s">
        <v>189</v>
      </c>
      <c r="T201" s="215" t="s">
        <v>139</v>
      </c>
      <c r="U201" s="215" t="s">
        <v>194</v>
      </c>
    </row>
    <row r="202" spans="1:21">
      <c r="A202" s="214"/>
      <c r="B202" s="230" t="s">
        <v>603</v>
      </c>
      <c r="C202" s="215" t="s">
        <v>131</v>
      </c>
      <c r="D202" s="231"/>
      <c r="E202" s="217" t="s">
        <v>683</v>
      </c>
      <c r="F202" s="232" t="s">
        <v>606</v>
      </c>
      <c r="G202" s="233">
        <v>2021</v>
      </c>
      <c r="H202" s="215"/>
      <c r="I202" s="215" t="s">
        <v>137</v>
      </c>
      <c r="J202" s="215" t="s">
        <v>137</v>
      </c>
      <c r="K202" s="215">
        <v>2023</v>
      </c>
      <c r="L202" s="227">
        <v>32500</v>
      </c>
      <c r="M202" s="222">
        <v>0.3</v>
      </c>
      <c r="N202" s="220">
        <f t="shared" si="3"/>
        <v>6174.1875000000009</v>
      </c>
      <c r="O202" s="220">
        <f t="shared" si="4"/>
        <v>24696.750000000004</v>
      </c>
      <c r="P202" s="220">
        <f t="shared" si="5"/>
        <v>7803.2499999999973</v>
      </c>
      <c r="Q202" s="215"/>
      <c r="R202" s="215"/>
      <c r="S202" s="233" t="s">
        <v>137</v>
      </c>
      <c r="T202" s="215" t="s">
        <v>139</v>
      </c>
      <c r="U202" s="215" t="s">
        <v>194</v>
      </c>
    </row>
    <row r="203" spans="1:21">
      <c r="A203" s="214"/>
      <c r="B203" s="230" t="s">
        <v>603</v>
      </c>
      <c r="C203" s="215" t="s">
        <v>131</v>
      </c>
      <c r="D203" s="231"/>
      <c r="E203" s="217" t="s">
        <v>684</v>
      </c>
      <c r="F203" s="232" t="s">
        <v>606</v>
      </c>
      <c r="G203" s="233">
        <v>2021</v>
      </c>
      <c r="H203" s="215"/>
      <c r="I203" s="215" t="s">
        <v>208</v>
      </c>
      <c r="J203" s="215" t="s">
        <v>208</v>
      </c>
      <c r="K203" s="215">
        <v>2023</v>
      </c>
      <c r="L203" s="227">
        <v>32500</v>
      </c>
      <c r="M203" s="222">
        <v>0.3</v>
      </c>
      <c r="N203" s="220">
        <f t="shared" si="3"/>
        <v>6174.1875000000009</v>
      </c>
      <c r="O203" s="220">
        <f t="shared" si="4"/>
        <v>24696.750000000004</v>
      </c>
      <c r="P203" s="220">
        <f t="shared" si="5"/>
        <v>7803.2499999999973</v>
      </c>
      <c r="Q203" s="215"/>
      <c r="R203" s="215"/>
      <c r="S203" s="233" t="s">
        <v>208</v>
      </c>
      <c r="T203" s="215" t="s">
        <v>139</v>
      </c>
      <c r="U203" s="215" t="s">
        <v>194</v>
      </c>
    </row>
    <row r="204" spans="1:21" ht="28.2">
      <c r="A204" s="214"/>
      <c r="B204" s="230" t="s">
        <v>607</v>
      </c>
      <c r="C204" s="215" t="s">
        <v>131</v>
      </c>
      <c r="D204" s="231"/>
      <c r="E204" s="217" t="s">
        <v>685</v>
      </c>
      <c r="F204" s="232" t="s">
        <v>612</v>
      </c>
      <c r="G204" s="233">
        <v>2021</v>
      </c>
      <c r="H204" s="215"/>
      <c r="I204" s="215" t="s">
        <v>208</v>
      </c>
      <c r="J204" s="215" t="s">
        <v>208</v>
      </c>
      <c r="K204" s="215">
        <v>2023</v>
      </c>
      <c r="L204" s="227">
        <v>12500</v>
      </c>
      <c r="M204" s="222">
        <v>0.3</v>
      </c>
      <c r="N204" s="220">
        <f t="shared" si="3"/>
        <v>2374.6875</v>
      </c>
      <c r="O204" s="220">
        <f t="shared" si="4"/>
        <v>9498.75</v>
      </c>
      <c r="P204" s="220">
        <f t="shared" si="5"/>
        <v>3001.2499999999991</v>
      </c>
      <c r="Q204" s="215"/>
      <c r="R204" s="215"/>
      <c r="S204" s="233" t="s">
        <v>208</v>
      </c>
      <c r="T204" s="215" t="s">
        <v>139</v>
      </c>
      <c r="U204" s="215" t="s">
        <v>194</v>
      </c>
    </row>
    <row r="205" spans="1:21" ht="28.2">
      <c r="A205" s="214"/>
      <c r="B205" s="230" t="s">
        <v>607</v>
      </c>
      <c r="C205" s="215" t="s">
        <v>131</v>
      </c>
      <c r="D205" s="231"/>
      <c r="E205" s="217" t="s">
        <v>602</v>
      </c>
      <c r="F205" s="232"/>
      <c r="G205" s="233">
        <v>2021</v>
      </c>
      <c r="H205" s="215"/>
      <c r="I205" s="215"/>
      <c r="J205" s="215"/>
      <c r="K205" s="215">
        <v>2023</v>
      </c>
      <c r="L205" s="227">
        <v>1</v>
      </c>
      <c r="M205" s="222">
        <v>0.3</v>
      </c>
      <c r="N205" s="220">
        <f t="shared" si="3"/>
        <v>0.189975</v>
      </c>
      <c r="O205" s="220">
        <f t="shared" si="4"/>
        <v>0.75990000000000002</v>
      </c>
      <c r="P205" s="220">
        <f t="shared" si="5"/>
        <v>0.24009999999999992</v>
      </c>
      <c r="Q205" s="215"/>
      <c r="R205" s="215"/>
      <c r="S205" s="233"/>
      <c r="T205" s="215" t="s">
        <v>139</v>
      </c>
      <c r="U205" s="215" t="s">
        <v>194</v>
      </c>
    </row>
    <row r="206" spans="1:21" ht="28.2">
      <c r="A206" s="214"/>
      <c r="B206" s="230" t="s">
        <v>607</v>
      </c>
      <c r="C206" s="215" t="s">
        <v>131</v>
      </c>
      <c r="D206" s="231"/>
      <c r="E206" s="217" t="s">
        <v>602</v>
      </c>
      <c r="F206" s="232"/>
      <c r="G206" s="233">
        <v>2021</v>
      </c>
      <c r="H206" s="215"/>
      <c r="I206" s="215"/>
      <c r="J206" s="215"/>
      <c r="K206" s="215">
        <v>2023</v>
      </c>
      <c r="L206" s="227">
        <v>1</v>
      </c>
      <c r="M206" s="222">
        <v>0.3</v>
      </c>
      <c r="N206" s="220">
        <f t="shared" si="3"/>
        <v>0.189975</v>
      </c>
      <c r="O206" s="220">
        <f t="shared" si="4"/>
        <v>0.75990000000000002</v>
      </c>
      <c r="P206" s="220">
        <f t="shared" si="5"/>
        <v>0.24009999999999992</v>
      </c>
      <c r="Q206" s="215"/>
      <c r="R206" s="215"/>
      <c r="S206" s="233"/>
      <c r="T206" s="215" t="s">
        <v>139</v>
      </c>
      <c r="U206" s="215" t="s">
        <v>194</v>
      </c>
    </row>
    <row r="207" spans="1:21" ht="28.2">
      <c r="A207" s="214"/>
      <c r="B207" s="230" t="s">
        <v>607</v>
      </c>
      <c r="C207" s="215" t="s">
        <v>131</v>
      </c>
      <c r="D207" s="231"/>
      <c r="E207" s="217" t="s">
        <v>686</v>
      </c>
      <c r="F207" s="232" t="s">
        <v>612</v>
      </c>
      <c r="G207" s="233">
        <v>2021</v>
      </c>
      <c r="H207" s="215"/>
      <c r="I207" s="215" t="s">
        <v>137</v>
      </c>
      <c r="J207" s="215" t="s">
        <v>137</v>
      </c>
      <c r="K207" s="215">
        <v>2023</v>
      </c>
      <c r="L207" s="227">
        <v>12500</v>
      </c>
      <c r="M207" s="222">
        <v>0.3</v>
      </c>
      <c r="N207" s="220">
        <f t="shared" si="3"/>
        <v>2374.6875</v>
      </c>
      <c r="O207" s="220">
        <f t="shared" si="4"/>
        <v>9498.75</v>
      </c>
      <c r="P207" s="220">
        <f t="shared" si="5"/>
        <v>3001.2499999999991</v>
      </c>
      <c r="Q207" s="215"/>
      <c r="R207" s="215"/>
      <c r="S207" s="233" t="s">
        <v>687</v>
      </c>
      <c r="T207" s="215" t="s">
        <v>139</v>
      </c>
      <c r="U207" s="215" t="s">
        <v>194</v>
      </c>
    </row>
    <row r="208" spans="1:21">
      <c r="A208" s="214"/>
      <c r="B208" s="230" t="s">
        <v>688</v>
      </c>
      <c r="C208" s="215"/>
      <c r="D208" s="231"/>
      <c r="E208" s="217"/>
      <c r="F208" s="232"/>
      <c r="G208" s="233">
        <v>2021</v>
      </c>
      <c r="H208" s="215"/>
      <c r="I208" s="215" t="s">
        <v>208</v>
      </c>
      <c r="J208" s="215" t="s">
        <v>208</v>
      </c>
      <c r="K208" s="215">
        <v>2023</v>
      </c>
      <c r="L208" s="227">
        <v>250000</v>
      </c>
      <c r="M208" s="222">
        <v>0.3</v>
      </c>
      <c r="N208" s="220">
        <f t="shared" si="3"/>
        <v>47493.750000000007</v>
      </c>
      <c r="O208" s="220">
        <f t="shared" si="4"/>
        <v>189975.00000000003</v>
      </c>
      <c r="P208" s="220">
        <f t="shared" si="5"/>
        <v>60024.999999999978</v>
      </c>
      <c r="Q208" s="215"/>
      <c r="R208" s="215"/>
      <c r="S208" s="233" t="s">
        <v>208</v>
      </c>
      <c r="T208" s="215" t="s">
        <v>139</v>
      </c>
      <c r="U208" s="215" t="s">
        <v>194</v>
      </c>
    </row>
    <row r="209" spans="1:22">
      <c r="A209" s="214"/>
      <c r="B209" s="230" t="s">
        <v>688</v>
      </c>
      <c r="C209" s="215" t="s">
        <v>131</v>
      </c>
      <c r="D209" s="231"/>
      <c r="E209" s="217"/>
      <c r="F209" s="232"/>
      <c r="G209" s="233">
        <v>2021</v>
      </c>
      <c r="H209" s="215"/>
      <c r="I209" s="215" t="s">
        <v>202</v>
      </c>
      <c r="J209" s="215" t="s">
        <v>202</v>
      </c>
      <c r="K209" s="215">
        <v>2023</v>
      </c>
      <c r="L209" s="227">
        <v>250000</v>
      </c>
      <c r="M209" s="222">
        <v>0.3</v>
      </c>
      <c r="N209" s="220">
        <f t="shared" si="3"/>
        <v>47493.750000000007</v>
      </c>
      <c r="O209" s="220">
        <f t="shared" si="4"/>
        <v>189975.00000000003</v>
      </c>
      <c r="P209" s="220">
        <f t="shared" si="5"/>
        <v>60024.999999999978</v>
      </c>
      <c r="Q209" s="215"/>
      <c r="R209" s="215"/>
      <c r="S209" s="233" t="s">
        <v>202</v>
      </c>
      <c r="T209" s="215" t="s">
        <v>139</v>
      </c>
      <c r="U209" s="215" t="s">
        <v>194</v>
      </c>
    </row>
    <row r="210" spans="1:22">
      <c r="A210" s="214"/>
      <c r="B210" s="230" t="s">
        <v>688</v>
      </c>
      <c r="C210" s="215" t="s">
        <v>131</v>
      </c>
      <c r="D210" s="231"/>
      <c r="E210" s="217"/>
      <c r="F210" s="232"/>
      <c r="G210" s="233">
        <v>2021</v>
      </c>
      <c r="H210" s="215"/>
      <c r="I210" s="215" t="s">
        <v>206</v>
      </c>
      <c r="J210" s="215" t="s">
        <v>206</v>
      </c>
      <c r="K210" s="215">
        <v>2023</v>
      </c>
      <c r="L210" s="227">
        <v>250000</v>
      </c>
      <c r="M210" s="222">
        <v>0.3</v>
      </c>
      <c r="N210" s="220">
        <f t="shared" si="3"/>
        <v>47493.750000000007</v>
      </c>
      <c r="O210" s="220">
        <f t="shared" si="4"/>
        <v>189975.00000000003</v>
      </c>
      <c r="P210" s="220">
        <f t="shared" si="5"/>
        <v>60024.999999999978</v>
      </c>
      <c r="Q210" s="215"/>
      <c r="R210" s="215"/>
      <c r="S210" s="215" t="s">
        <v>206</v>
      </c>
      <c r="T210" s="215" t="s">
        <v>139</v>
      </c>
      <c r="U210" s="215" t="s">
        <v>194</v>
      </c>
    </row>
    <row r="211" spans="1:22">
      <c r="A211" s="214"/>
      <c r="B211" s="230" t="s">
        <v>688</v>
      </c>
      <c r="C211" s="215" t="s">
        <v>131</v>
      </c>
      <c r="D211" s="231"/>
      <c r="E211" s="217"/>
      <c r="F211" s="232"/>
      <c r="G211" s="233">
        <v>2021</v>
      </c>
      <c r="H211" s="215"/>
      <c r="I211" s="215" t="s">
        <v>189</v>
      </c>
      <c r="J211" s="215" t="s">
        <v>189</v>
      </c>
      <c r="K211" s="215">
        <v>2023</v>
      </c>
      <c r="L211" s="227">
        <v>250000</v>
      </c>
      <c r="M211" s="222">
        <v>0.3</v>
      </c>
      <c r="N211" s="220">
        <f t="shared" si="3"/>
        <v>47493.750000000007</v>
      </c>
      <c r="O211" s="220">
        <f t="shared" si="4"/>
        <v>189975.00000000003</v>
      </c>
      <c r="P211" s="220">
        <f t="shared" si="5"/>
        <v>60024.999999999978</v>
      </c>
      <c r="Q211" s="215"/>
      <c r="R211" s="215"/>
      <c r="S211" s="215" t="s">
        <v>189</v>
      </c>
      <c r="T211" s="215" t="s">
        <v>139</v>
      </c>
      <c r="U211" s="215" t="s">
        <v>194</v>
      </c>
    </row>
    <row r="212" spans="1:22">
      <c r="A212" s="214"/>
      <c r="B212" s="230" t="s">
        <v>688</v>
      </c>
      <c r="C212" s="215" t="s">
        <v>131</v>
      </c>
      <c r="D212" s="231"/>
      <c r="E212" s="217"/>
      <c r="F212" s="232"/>
      <c r="G212" s="233">
        <v>2021</v>
      </c>
      <c r="H212" s="215"/>
      <c r="I212" s="215" t="s">
        <v>137</v>
      </c>
      <c r="J212" s="215" t="s">
        <v>137</v>
      </c>
      <c r="K212" s="215">
        <v>2023</v>
      </c>
      <c r="L212" s="227">
        <v>250000</v>
      </c>
      <c r="M212" s="222">
        <v>0.3</v>
      </c>
      <c r="N212" s="220">
        <f t="shared" si="3"/>
        <v>47493.750000000007</v>
      </c>
      <c r="O212" s="220">
        <f t="shared" si="4"/>
        <v>189975.00000000003</v>
      </c>
      <c r="P212" s="220">
        <f t="shared" si="5"/>
        <v>60024.999999999978</v>
      </c>
      <c r="Q212" s="215"/>
      <c r="R212" s="215"/>
      <c r="S212" s="215" t="s">
        <v>137</v>
      </c>
      <c r="T212" s="215" t="s">
        <v>139</v>
      </c>
      <c r="U212" s="215" t="s">
        <v>194</v>
      </c>
    </row>
    <row r="213" spans="1:22">
      <c r="A213" s="214"/>
      <c r="B213" s="230" t="s">
        <v>689</v>
      </c>
      <c r="C213" s="215" t="s">
        <v>131</v>
      </c>
      <c r="D213" s="231"/>
      <c r="E213" s="217"/>
      <c r="F213" s="232"/>
      <c r="G213" s="233">
        <v>2021</v>
      </c>
      <c r="H213" s="215"/>
      <c r="I213" s="215" t="s">
        <v>137</v>
      </c>
      <c r="J213" s="215" t="s">
        <v>137</v>
      </c>
      <c r="K213" s="215"/>
      <c r="L213" s="227">
        <v>28000</v>
      </c>
      <c r="M213" s="222">
        <v>0.3</v>
      </c>
      <c r="N213" s="220">
        <f t="shared" si="3"/>
        <v>5319.3000000000011</v>
      </c>
      <c r="O213" s="220">
        <f t="shared" si="4"/>
        <v>21277.200000000004</v>
      </c>
      <c r="P213" s="220">
        <f t="shared" si="5"/>
        <v>6722.7999999999975</v>
      </c>
      <c r="Q213" s="215"/>
      <c r="R213" s="215"/>
      <c r="S213" s="215"/>
      <c r="T213" s="215"/>
      <c r="U213" s="215"/>
    </row>
    <row r="214" spans="1:22">
      <c r="A214" s="214"/>
      <c r="B214" s="230" t="s">
        <v>689</v>
      </c>
      <c r="C214" s="215" t="s">
        <v>131</v>
      </c>
      <c r="D214" s="231"/>
      <c r="E214" s="217"/>
      <c r="F214" s="232"/>
      <c r="G214" s="233">
        <v>2021</v>
      </c>
      <c r="H214" s="215"/>
      <c r="I214" s="215" t="s">
        <v>137</v>
      </c>
      <c r="J214" s="215" t="s">
        <v>137</v>
      </c>
      <c r="K214" s="215"/>
      <c r="L214" s="227">
        <v>28000</v>
      </c>
      <c r="M214" s="222">
        <v>0.3</v>
      </c>
      <c r="N214" s="220">
        <f t="shared" si="3"/>
        <v>5319.3000000000011</v>
      </c>
      <c r="O214" s="220">
        <f t="shared" si="4"/>
        <v>21277.200000000004</v>
      </c>
      <c r="P214" s="220">
        <f t="shared" si="5"/>
        <v>6722.7999999999975</v>
      </c>
      <c r="Q214" s="215"/>
      <c r="R214" s="215"/>
      <c r="S214" s="215"/>
      <c r="T214" s="215"/>
      <c r="U214" s="215"/>
    </row>
    <row r="215" spans="1:22">
      <c r="A215" s="214"/>
      <c r="B215" s="230" t="s">
        <v>690</v>
      </c>
      <c r="C215" s="215" t="s">
        <v>131</v>
      </c>
      <c r="D215" s="231"/>
      <c r="E215" s="217"/>
      <c r="F215" s="232"/>
      <c r="G215" s="233">
        <v>2021</v>
      </c>
      <c r="H215" s="215"/>
      <c r="I215" s="215" t="s">
        <v>137</v>
      </c>
      <c r="J215" s="215" t="s">
        <v>137</v>
      </c>
      <c r="K215" s="215"/>
      <c r="L215" s="227">
        <v>185000</v>
      </c>
      <c r="M215" s="222">
        <v>0.3</v>
      </c>
      <c r="N215" s="220">
        <f t="shared" si="3"/>
        <v>35145.375</v>
      </c>
      <c r="O215" s="220">
        <f t="shared" si="4"/>
        <v>140581.5</v>
      </c>
      <c r="P215" s="220">
        <f t="shared" si="5"/>
        <v>44418.499999999985</v>
      </c>
      <c r="Q215" s="215"/>
      <c r="R215" s="215"/>
      <c r="S215" s="215"/>
      <c r="T215" s="215"/>
      <c r="U215" s="215"/>
    </row>
    <row r="216" spans="1:22" ht="28.2">
      <c r="A216" s="214"/>
      <c r="B216" s="230" t="s">
        <v>607</v>
      </c>
      <c r="C216" s="215" t="s">
        <v>131</v>
      </c>
      <c r="D216" s="231"/>
      <c r="E216" s="217" t="s">
        <v>691</v>
      </c>
      <c r="F216" s="232" t="s">
        <v>612</v>
      </c>
      <c r="G216" s="233">
        <v>2021</v>
      </c>
      <c r="H216" s="215"/>
      <c r="I216" s="215" t="s">
        <v>137</v>
      </c>
      <c r="J216" s="215" t="s">
        <v>137</v>
      </c>
      <c r="K216" s="215">
        <v>2023</v>
      </c>
      <c r="L216" s="227">
        <v>12500</v>
      </c>
      <c r="M216" s="222">
        <v>0.3</v>
      </c>
      <c r="N216" s="220">
        <f t="shared" si="3"/>
        <v>2374.6875</v>
      </c>
      <c r="O216" s="220">
        <f t="shared" si="4"/>
        <v>9498.75</v>
      </c>
      <c r="P216" s="220">
        <f t="shared" si="5"/>
        <v>3001.2499999999991</v>
      </c>
      <c r="Q216" s="215"/>
      <c r="R216" s="215"/>
      <c r="S216" s="233" t="s">
        <v>692</v>
      </c>
      <c r="T216" s="215" t="s">
        <v>139</v>
      </c>
      <c r="U216" s="215" t="s">
        <v>194</v>
      </c>
    </row>
    <row r="217" spans="1:22" ht="28.2">
      <c r="A217" s="214"/>
      <c r="B217" s="230" t="s">
        <v>693</v>
      </c>
      <c r="C217" s="215" t="s">
        <v>131</v>
      </c>
      <c r="D217" s="231" t="s">
        <v>694</v>
      </c>
      <c r="E217" s="217" t="s">
        <v>695</v>
      </c>
      <c r="F217" s="232" t="s">
        <v>696</v>
      </c>
      <c r="G217" s="233">
        <v>2021</v>
      </c>
      <c r="H217" s="215"/>
      <c r="I217" s="215" t="s">
        <v>137</v>
      </c>
      <c r="J217" s="215" t="s">
        <v>137</v>
      </c>
      <c r="K217" s="215">
        <v>2023</v>
      </c>
      <c r="L217" s="227">
        <v>1</v>
      </c>
      <c r="M217" s="222">
        <v>0.3</v>
      </c>
      <c r="N217" s="220">
        <f t="shared" si="3"/>
        <v>0.189975</v>
      </c>
      <c r="O217" s="220">
        <f>L217-P217</f>
        <v>0.75990000000000002</v>
      </c>
      <c r="P217" s="220">
        <f t="shared" si="5"/>
        <v>0.24009999999999992</v>
      </c>
      <c r="Q217" s="215"/>
      <c r="R217" s="215"/>
      <c r="S217" s="233" t="s">
        <v>484</v>
      </c>
      <c r="T217" s="215" t="s">
        <v>139</v>
      </c>
      <c r="U217" s="215" t="s">
        <v>194</v>
      </c>
    </row>
    <row r="218" spans="1:22" ht="28.2">
      <c r="A218" s="214"/>
      <c r="B218" s="230" t="s">
        <v>693</v>
      </c>
      <c r="C218" s="215" t="s">
        <v>131</v>
      </c>
      <c r="D218" s="231" t="s">
        <v>697</v>
      </c>
      <c r="E218" s="217" t="s">
        <v>698</v>
      </c>
      <c r="F218" s="232" t="s">
        <v>696</v>
      </c>
      <c r="G218" s="233">
        <v>2021</v>
      </c>
      <c r="H218" s="215"/>
      <c r="I218" s="215" t="s">
        <v>137</v>
      </c>
      <c r="J218" s="215" t="s">
        <v>137</v>
      </c>
      <c r="K218" s="215">
        <v>2023</v>
      </c>
      <c r="L218" s="227">
        <v>1</v>
      </c>
      <c r="M218" s="222">
        <v>0.3</v>
      </c>
      <c r="N218" s="220">
        <f t="shared" si="3"/>
        <v>0.189975</v>
      </c>
      <c r="O218" s="220">
        <f t="shared" si="4"/>
        <v>0.75990000000000002</v>
      </c>
      <c r="P218" s="220">
        <f t="shared" si="5"/>
        <v>0.24009999999999992</v>
      </c>
      <c r="Q218" s="215"/>
      <c r="R218" s="215"/>
      <c r="S218" s="233" t="s">
        <v>484</v>
      </c>
      <c r="T218" s="215" t="s">
        <v>139</v>
      </c>
      <c r="U218" s="215" t="s">
        <v>194</v>
      </c>
    </row>
    <row r="219" spans="1:22" ht="28.2">
      <c r="A219" s="214"/>
      <c r="B219" s="230" t="s">
        <v>693</v>
      </c>
      <c r="C219" s="215" t="s">
        <v>131</v>
      </c>
      <c r="D219" s="231" t="s">
        <v>699</v>
      </c>
      <c r="E219" s="217" t="s">
        <v>700</v>
      </c>
      <c r="F219" s="232" t="s">
        <v>696</v>
      </c>
      <c r="G219" s="233">
        <v>2021</v>
      </c>
      <c r="H219" s="215"/>
      <c r="I219" s="215" t="s">
        <v>137</v>
      </c>
      <c r="J219" s="215" t="s">
        <v>137</v>
      </c>
      <c r="K219" s="215">
        <v>2023</v>
      </c>
      <c r="L219" s="227">
        <v>1</v>
      </c>
      <c r="M219" s="222">
        <v>0.3</v>
      </c>
      <c r="N219" s="220">
        <f t="shared" si="3"/>
        <v>0.189975</v>
      </c>
      <c r="O219" s="220">
        <f t="shared" si="4"/>
        <v>0.75990000000000002</v>
      </c>
      <c r="P219" s="220">
        <f t="shared" si="5"/>
        <v>0.24009999999999992</v>
      </c>
      <c r="Q219" s="215"/>
      <c r="R219" s="215"/>
      <c r="S219" s="233" t="s">
        <v>484</v>
      </c>
      <c r="T219" s="215" t="s">
        <v>139</v>
      </c>
      <c r="U219" s="215" t="s">
        <v>194</v>
      </c>
    </row>
    <row r="220" spans="1:22" ht="27.6">
      <c r="A220" s="259"/>
      <c r="B220" s="252" t="s">
        <v>1832</v>
      </c>
      <c r="C220" s="252" t="s">
        <v>131</v>
      </c>
      <c r="D220" s="260"/>
      <c r="E220" s="260" t="s">
        <v>240</v>
      </c>
      <c r="F220" s="260" t="s">
        <v>1833</v>
      </c>
      <c r="G220" s="233">
        <v>2014</v>
      </c>
      <c r="H220" s="260"/>
      <c r="I220" s="260" t="s">
        <v>137</v>
      </c>
      <c r="J220" s="260" t="s">
        <v>137</v>
      </c>
      <c r="K220" s="260">
        <v>2023</v>
      </c>
      <c r="L220" s="261">
        <v>203000</v>
      </c>
      <c r="M220" s="262">
        <v>0.125</v>
      </c>
      <c r="N220" s="220">
        <f>O220/(2025-G220)</f>
        <v>14206.472798536362</v>
      </c>
      <c r="O220" s="220">
        <f>L220-P220</f>
        <v>156271.20078389999</v>
      </c>
      <c r="P220" s="220">
        <f t="shared" si="5"/>
        <v>46728.799216100015</v>
      </c>
      <c r="Q220" s="260"/>
      <c r="R220" s="260"/>
      <c r="S220" s="260" t="s">
        <v>1115</v>
      </c>
      <c r="T220" s="260" t="s">
        <v>139</v>
      </c>
      <c r="U220" s="259"/>
      <c r="V220" s="263"/>
    </row>
    <row r="221" spans="1:22" ht="28.2">
      <c r="A221" s="259"/>
      <c r="B221" s="252" t="s">
        <v>425</v>
      </c>
      <c r="C221" s="252" t="s">
        <v>131</v>
      </c>
      <c r="D221" s="260" t="s">
        <v>426</v>
      </c>
      <c r="E221" s="215" t="s">
        <v>181</v>
      </c>
      <c r="F221" s="277" t="s">
        <v>427</v>
      </c>
      <c r="G221" s="233">
        <v>2025</v>
      </c>
      <c r="H221" s="215"/>
      <c r="I221" s="215" t="s">
        <v>137</v>
      </c>
      <c r="J221" s="215" t="s">
        <v>137</v>
      </c>
      <c r="K221" s="279">
        <v>2028</v>
      </c>
      <c r="L221" s="261">
        <v>317000</v>
      </c>
      <c r="M221" s="222">
        <v>0.3</v>
      </c>
      <c r="N221" s="268">
        <v>0</v>
      </c>
      <c r="O221" s="220">
        <f>L221-P221</f>
        <v>0</v>
      </c>
      <c r="P221" s="220">
        <f>L221*(1-M221)^(2025-G221)</f>
        <v>317000</v>
      </c>
      <c r="Q221" s="260"/>
      <c r="R221" s="260"/>
      <c r="S221" s="260"/>
      <c r="T221" s="260"/>
      <c r="U221" s="259"/>
    </row>
    <row r="222" spans="1:22" ht="27">
      <c r="A222" s="259"/>
      <c r="B222" s="252" t="s">
        <v>483</v>
      </c>
      <c r="C222" s="252" t="s">
        <v>131</v>
      </c>
      <c r="D222" s="260"/>
      <c r="E222" s="215" t="s">
        <v>181</v>
      </c>
      <c r="F222" s="278" t="s">
        <v>1836</v>
      </c>
      <c r="G222" s="233">
        <v>2025</v>
      </c>
      <c r="H222" s="215"/>
      <c r="I222" s="215" t="s">
        <v>137</v>
      </c>
      <c r="J222" s="215" t="s">
        <v>137</v>
      </c>
      <c r="K222" s="215"/>
      <c r="L222" s="261">
        <v>40000</v>
      </c>
      <c r="M222" s="262">
        <v>0.125</v>
      </c>
      <c r="N222" s="220">
        <v>0</v>
      </c>
      <c r="O222" s="220">
        <f t="shared" ref="O222" si="6">L222-P222</f>
        <v>0</v>
      </c>
      <c r="P222" s="220">
        <f t="shared" si="5"/>
        <v>40000</v>
      </c>
      <c r="Q222" s="260"/>
      <c r="R222" s="260"/>
      <c r="S222" s="260"/>
      <c r="T222" s="260"/>
      <c r="U222" s="259"/>
    </row>
    <row r="223" spans="1:22">
      <c r="A223" s="259"/>
      <c r="B223" s="259" t="s">
        <v>1834</v>
      </c>
      <c r="C223" s="215" t="s">
        <v>131</v>
      </c>
      <c r="D223" s="259"/>
      <c r="E223" s="259"/>
      <c r="F223" s="259"/>
      <c r="G223" s="259"/>
      <c r="H223" s="259"/>
      <c r="I223" s="259"/>
      <c r="J223" s="259"/>
      <c r="K223" s="259"/>
      <c r="L223" s="264">
        <f>SUM(L3:L222)</f>
        <v>19308410</v>
      </c>
      <c r="M223" s="264">
        <f>SUM(M3:M222)</f>
        <v>65.649999999999736</v>
      </c>
      <c r="N223" s="264">
        <f>SUM(N3:N222)</f>
        <v>2988734.0434300341</v>
      </c>
      <c r="O223" s="264">
        <f>SUM(O3:O222)</f>
        <v>15839371.951989096</v>
      </c>
      <c r="P223" s="264">
        <f>SUM(P3:P222)</f>
        <v>3469038.0480109048</v>
      </c>
      <c r="Q223" s="259"/>
      <c r="R223" s="259"/>
      <c r="S223" s="259"/>
      <c r="T223" s="259"/>
      <c r="U223" s="259"/>
    </row>
    <row r="224" spans="1:22">
      <c r="L224" s="265"/>
    </row>
    <row r="225" spans="1:16" s="184" customFormat="1" ht="18">
      <c r="A225" s="307" t="s">
        <v>1881</v>
      </c>
      <c r="B225" s="307"/>
      <c r="C225" s="307"/>
      <c r="E225" s="308"/>
      <c r="N225" s="309"/>
      <c r="O225" s="309"/>
      <c r="P225" s="309"/>
    </row>
    <row r="226" spans="1:16" s="184" customFormat="1" ht="18">
      <c r="A226" s="307" t="s">
        <v>1880</v>
      </c>
      <c r="B226" s="307"/>
      <c r="C226" s="307"/>
      <c r="E226" s="308"/>
      <c r="N226" s="309"/>
      <c r="O226" s="309"/>
      <c r="P226" s="309"/>
    </row>
    <row r="227" spans="1:16" s="184" customFormat="1" ht="18">
      <c r="A227" s="307" t="s">
        <v>1882</v>
      </c>
      <c r="B227" s="307"/>
      <c r="C227" s="307"/>
      <c r="N227" s="309"/>
      <c r="O227" s="309"/>
      <c r="P227" s="30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96"/>
  <sheetViews>
    <sheetView zoomScale="98" zoomScaleNormal="98" workbookViewId="0">
      <pane ySplit="1" topLeftCell="A393" activePane="bottomLeft" state="frozen"/>
      <selection activeCell="E1" sqref="E1"/>
      <selection pane="bottomLeft" activeCell="D401" sqref="D401"/>
    </sheetView>
  </sheetViews>
  <sheetFormatPr defaultColWidth="9" defaultRowHeight="15.6"/>
  <cols>
    <col min="1" max="1" width="31.44140625" style="1" customWidth="1"/>
    <col min="2" max="2" width="8" style="1" customWidth="1"/>
    <col min="3" max="3" width="10.88671875" style="1" customWidth="1"/>
    <col min="4" max="4" width="15.5546875" style="1" customWidth="1"/>
    <col min="5" max="5" width="12.44140625" style="1" customWidth="1"/>
    <col min="6" max="6" width="12.33203125" style="1" customWidth="1"/>
    <col min="7" max="8" width="9" style="1"/>
    <col min="9" max="9" width="10.6640625" style="1" customWidth="1"/>
    <col min="10" max="10" width="11.5546875" style="1"/>
    <col min="11" max="11" width="16" style="1" customWidth="1"/>
    <col min="12" max="12" width="10" style="1" customWidth="1"/>
    <col min="13" max="13" width="23.33203125" style="1" customWidth="1"/>
    <col min="14" max="14" width="16" style="1" bestFit="1" customWidth="1"/>
    <col min="15" max="15" width="15.33203125" style="1" bestFit="1" customWidth="1"/>
    <col min="16" max="16" width="9" style="1"/>
    <col min="17" max="17" width="8.44140625" style="1" customWidth="1"/>
    <col min="18" max="18" width="13.33203125" style="1" customWidth="1"/>
    <col min="19" max="16384" width="9" style="1"/>
  </cols>
  <sheetData>
    <row r="1" spans="1:21" ht="62.4">
      <c r="A1" s="42" t="s">
        <v>175</v>
      </c>
      <c r="B1" s="42" t="s">
        <v>111</v>
      </c>
      <c r="C1" s="42" t="s">
        <v>176</v>
      </c>
      <c r="D1" s="42" t="s">
        <v>177</v>
      </c>
      <c r="E1" s="42" t="s">
        <v>115</v>
      </c>
      <c r="F1" s="42" t="s">
        <v>178</v>
      </c>
      <c r="G1" s="42" t="s">
        <v>117</v>
      </c>
      <c r="H1" s="42" t="s">
        <v>118</v>
      </c>
      <c r="I1" s="42" t="s">
        <v>119</v>
      </c>
      <c r="J1" s="42" t="s">
        <v>120</v>
      </c>
      <c r="K1" s="42" t="s">
        <v>179</v>
      </c>
      <c r="L1" s="42" t="s">
        <v>122</v>
      </c>
      <c r="M1" s="42" t="s">
        <v>105</v>
      </c>
      <c r="N1" s="42" t="s">
        <v>123</v>
      </c>
      <c r="O1" s="42" t="s">
        <v>124</v>
      </c>
      <c r="P1" s="42" t="s">
        <v>125</v>
      </c>
      <c r="Q1" s="42" t="s">
        <v>77</v>
      </c>
      <c r="R1" s="42" t="s">
        <v>126</v>
      </c>
      <c r="S1" s="42" t="s">
        <v>127</v>
      </c>
      <c r="T1" s="43"/>
      <c r="U1" s="43"/>
    </row>
    <row r="2" spans="1:21" ht="31.2">
      <c r="A2" s="42" t="s">
        <v>719</v>
      </c>
      <c r="B2" s="42" t="s">
        <v>131</v>
      </c>
      <c r="C2" s="42" t="s">
        <v>181</v>
      </c>
      <c r="D2" s="42" t="s">
        <v>720</v>
      </c>
      <c r="E2" s="42" t="s">
        <v>721</v>
      </c>
      <c r="F2" s="42">
        <v>2005</v>
      </c>
      <c r="G2" s="42"/>
      <c r="H2" s="42" t="s">
        <v>137</v>
      </c>
      <c r="I2" s="42" t="s">
        <v>137</v>
      </c>
      <c r="J2" s="42">
        <v>2014</v>
      </c>
      <c r="K2" s="117">
        <v>16300</v>
      </c>
      <c r="L2" s="118">
        <v>0.125</v>
      </c>
      <c r="M2" s="119">
        <f>O2/(2025-F2)</f>
        <v>56.40513840075316</v>
      </c>
      <c r="N2" s="269">
        <f>K2-O2</f>
        <v>15171.897231984936</v>
      </c>
      <c r="O2" s="270">
        <f>K2*(1-L2)^(2025-F2)</f>
        <v>1128.1027680150632</v>
      </c>
      <c r="P2" s="42"/>
      <c r="Q2" s="42"/>
      <c r="R2" s="42" t="s">
        <v>193</v>
      </c>
      <c r="S2" s="42" t="s">
        <v>139</v>
      </c>
      <c r="T2" s="43"/>
      <c r="U2" s="43"/>
    </row>
    <row r="3" spans="1:21" ht="31.2">
      <c r="A3" s="42" t="s">
        <v>719</v>
      </c>
      <c r="B3" s="42" t="s">
        <v>131</v>
      </c>
      <c r="C3" s="42" t="s">
        <v>181</v>
      </c>
      <c r="D3" s="42" t="s">
        <v>722</v>
      </c>
      <c r="E3" s="42" t="s">
        <v>721</v>
      </c>
      <c r="F3" s="42">
        <v>2005</v>
      </c>
      <c r="G3" s="42"/>
      <c r="H3" s="42" t="s">
        <v>137</v>
      </c>
      <c r="I3" s="42" t="s">
        <v>137</v>
      </c>
      <c r="J3" s="42">
        <v>2014</v>
      </c>
      <c r="K3" s="117">
        <v>16300</v>
      </c>
      <c r="L3" s="118">
        <v>0.125</v>
      </c>
      <c r="M3" s="119">
        <f t="shared" ref="M3:M66" si="0">O3/(2025-F3)</f>
        <v>56.40513840075316</v>
      </c>
      <c r="N3" s="269">
        <f t="shared" ref="N3:N66" si="1">K3-O3</f>
        <v>15171.897231984936</v>
      </c>
      <c r="O3" s="270">
        <f t="shared" ref="O3:O66" si="2">K3*(1-L3)^(2025-F3)</f>
        <v>1128.1027680150632</v>
      </c>
      <c r="P3" s="42"/>
      <c r="Q3" s="42"/>
      <c r="R3" s="42" t="s">
        <v>223</v>
      </c>
      <c r="S3" s="42" t="s">
        <v>139</v>
      </c>
      <c r="T3" s="43"/>
      <c r="U3" s="43"/>
    </row>
    <row r="4" spans="1:21" ht="31.2">
      <c r="A4" s="42" t="s">
        <v>719</v>
      </c>
      <c r="B4" s="42" t="s">
        <v>131</v>
      </c>
      <c r="C4" s="42" t="s">
        <v>181</v>
      </c>
      <c r="D4" s="42" t="s">
        <v>723</v>
      </c>
      <c r="E4" s="42" t="s">
        <v>721</v>
      </c>
      <c r="F4" s="42">
        <v>2005</v>
      </c>
      <c r="G4" s="42"/>
      <c r="H4" s="42" t="s">
        <v>137</v>
      </c>
      <c r="I4" s="42" t="s">
        <v>137</v>
      </c>
      <c r="J4" s="42">
        <v>2014</v>
      </c>
      <c r="K4" s="117">
        <v>16300</v>
      </c>
      <c r="L4" s="118">
        <v>0.125</v>
      </c>
      <c r="M4" s="119">
        <f t="shared" si="0"/>
        <v>56.40513840075316</v>
      </c>
      <c r="N4" s="269">
        <f t="shared" si="1"/>
        <v>15171.897231984936</v>
      </c>
      <c r="O4" s="270">
        <f t="shared" si="2"/>
        <v>1128.1027680150632</v>
      </c>
      <c r="P4" s="42"/>
      <c r="Q4" s="42"/>
      <c r="R4" s="42" t="s">
        <v>724</v>
      </c>
      <c r="S4" s="42" t="s">
        <v>139</v>
      </c>
      <c r="T4" s="43"/>
      <c r="U4" s="43"/>
    </row>
    <row r="5" spans="1:21" ht="31.2">
      <c r="A5" s="42" t="s">
        <v>719</v>
      </c>
      <c r="B5" s="42" t="s">
        <v>131</v>
      </c>
      <c r="C5" s="42" t="s">
        <v>181</v>
      </c>
      <c r="D5" s="42" t="s">
        <v>725</v>
      </c>
      <c r="E5" s="42" t="s">
        <v>721</v>
      </c>
      <c r="F5" s="42">
        <v>2005</v>
      </c>
      <c r="G5" s="42"/>
      <c r="H5" s="42" t="s">
        <v>137</v>
      </c>
      <c r="I5" s="42" t="s">
        <v>137</v>
      </c>
      <c r="J5" s="42">
        <v>2014</v>
      </c>
      <c r="K5" s="117">
        <v>16300</v>
      </c>
      <c r="L5" s="118">
        <v>0.125</v>
      </c>
      <c r="M5" s="119">
        <f t="shared" si="0"/>
        <v>56.40513840075316</v>
      </c>
      <c r="N5" s="269">
        <f t="shared" si="1"/>
        <v>15171.897231984936</v>
      </c>
      <c r="O5" s="270">
        <f t="shared" si="2"/>
        <v>1128.1027680150632</v>
      </c>
      <c r="P5" s="42"/>
      <c r="Q5" s="42"/>
      <c r="R5" s="42" t="s">
        <v>319</v>
      </c>
      <c r="S5" s="42" t="s">
        <v>139</v>
      </c>
      <c r="T5" s="43"/>
      <c r="U5" s="43"/>
    </row>
    <row r="6" spans="1:21" ht="31.2">
      <c r="A6" s="42" t="s">
        <v>719</v>
      </c>
      <c r="B6" s="42" t="s">
        <v>131</v>
      </c>
      <c r="C6" s="42" t="s">
        <v>181</v>
      </c>
      <c r="D6" s="42" t="s">
        <v>726</v>
      </c>
      <c r="E6" s="42" t="s">
        <v>721</v>
      </c>
      <c r="F6" s="42">
        <v>2005</v>
      </c>
      <c r="G6" s="42"/>
      <c r="H6" s="42" t="s">
        <v>137</v>
      </c>
      <c r="I6" s="42" t="s">
        <v>137</v>
      </c>
      <c r="J6" s="42">
        <v>2014</v>
      </c>
      <c r="K6" s="117">
        <v>16300</v>
      </c>
      <c r="L6" s="118">
        <v>0.125</v>
      </c>
      <c r="M6" s="119">
        <f t="shared" si="0"/>
        <v>56.40513840075316</v>
      </c>
      <c r="N6" s="269">
        <f t="shared" si="1"/>
        <v>15171.897231984936</v>
      </c>
      <c r="O6" s="270">
        <f t="shared" si="2"/>
        <v>1128.1027680150632</v>
      </c>
      <c r="P6" s="42"/>
      <c r="Q6" s="42"/>
      <c r="R6" s="42" t="s">
        <v>239</v>
      </c>
      <c r="S6" s="42" t="s">
        <v>139</v>
      </c>
      <c r="T6" s="43"/>
      <c r="U6" s="43"/>
    </row>
    <row r="7" spans="1:21" ht="31.2">
      <c r="A7" s="42" t="s">
        <v>719</v>
      </c>
      <c r="B7" s="42" t="s">
        <v>131</v>
      </c>
      <c r="C7" s="42" t="s">
        <v>181</v>
      </c>
      <c r="D7" s="42" t="s">
        <v>727</v>
      </c>
      <c r="E7" s="42" t="s">
        <v>721</v>
      </c>
      <c r="F7" s="42">
        <v>2005</v>
      </c>
      <c r="G7" s="42"/>
      <c r="H7" s="42" t="s">
        <v>137</v>
      </c>
      <c r="I7" s="42" t="s">
        <v>137</v>
      </c>
      <c r="J7" s="42">
        <v>2014</v>
      </c>
      <c r="K7" s="117">
        <v>16300</v>
      </c>
      <c r="L7" s="118">
        <v>0.125</v>
      </c>
      <c r="M7" s="119">
        <f t="shared" si="0"/>
        <v>56.40513840075316</v>
      </c>
      <c r="N7" s="269">
        <f t="shared" si="1"/>
        <v>15171.897231984936</v>
      </c>
      <c r="O7" s="270">
        <f t="shared" si="2"/>
        <v>1128.1027680150632</v>
      </c>
      <c r="P7" s="42"/>
      <c r="Q7" s="42"/>
      <c r="R7" s="42" t="s">
        <v>728</v>
      </c>
      <c r="S7" s="42" t="s">
        <v>139</v>
      </c>
      <c r="T7" s="43"/>
      <c r="U7" s="43"/>
    </row>
    <row r="8" spans="1:21" ht="31.2">
      <c r="A8" s="42" t="s">
        <v>719</v>
      </c>
      <c r="B8" s="42" t="s">
        <v>131</v>
      </c>
      <c r="C8" s="42" t="s">
        <v>181</v>
      </c>
      <c r="D8" s="42" t="s">
        <v>729</v>
      </c>
      <c r="E8" s="42" t="s">
        <v>721</v>
      </c>
      <c r="F8" s="42">
        <v>2005</v>
      </c>
      <c r="G8" s="42"/>
      <c r="H8" s="42" t="s">
        <v>137</v>
      </c>
      <c r="I8" s="42" t="s">
        <v>137</v>
      </c>
      <c r="J8" s="42">
        <v>2014</v>
      </c>
      <c r="K8" s="117">
        <v>16300</v>
      </c>
      <c r="L8" s="118">
        <v>0.125</v>
      </c>
      <c r="M8" s="119">
        <f t="shared" si="0"/>
        <v>56.40513840075316</v>
      </c>
      <c r="N8" s="269">
        <f t="shared" si="1"/>
        <v>15171.897231984936</v>
      </c>
      <c r="O8" s="270">
        <f t="shared" si="2"/>
        <v>1128.1027680150632</v>
      </c>
      <c r="P8" s="42"/>
      <c r="Q8" s="42"/>
      <c r="R8" s="42" t="s">
        <v>677</v>
      </c>
      <c r="S8" s="42" t="s">
        <v>139</v>
      </c>
      <c r="T8" s="43"/>
      <c r="U8" s="43"/>
    </row>
    <row r="9" spans="1:21" ht="31.2">
      <c r="A9" s="42" t="s">
        <v>719</v>
      </c>
      <c r="B9" s="42" t="s">
        <v>131</v>
      </c>
      <c r="C9" s="42" t="s">
        <v>181</v>
      </c>
      <c r="D9" s="42" t="s">
        <v>730</v>
      </c>
      <c r="E9" s="42" t="s">
        <v>721</v>
      </c>
      <c r="F9" s="42">
        <v>2005</v>
      </c>
      <c r="G9" s="42"/>
      <c r="H9" s="42" t="s">
        <v>137</v>
      </c>
      <c r="I9" s="42" t="s">
        <v>137</v>
      </c>
      <c r="J9" s="42">
        <v>2014</v>
      </c>
      <c r="K9" s="117">
        <v>16300</v>
      </c>
      <c r="L9" s="118">
        <v>0.125</v>
      </c>
      <c r="M9" s="119">
        <f t="shared" si="0"/>
        <v>56.40513840075316</v>
      </c>
      <c r="N9" s="269">
        <f t="shared" si="1"/>
        <v>15171.897231984936</v>
      </c>
      <c r="O9" s="270">
        <f t="shared" si="2"/>
        <v>1128.1027680150632</v>
      </c>
      <c r="P9" s="42"/>
      <c r="Q9" s="42"/>
      <c r="R9" s="42" t="s">
        <v>469</v>
      </c>
      <c r="S9" s="42" t="s">
        <v>139</v>
      </c>
      <c r="T9" s="43"/>
      <c r="U9" s="43"/>
    </row>
    <row r="10" spans="1:21" ht="31.2">
      <c r="A10" s="42" t="s">
        <v>719</v>
      </c>
      <c r="B10" s="42" t="s">
        <v>131</v>
      </c>
      <c r="C10" s="42" t="s">
        <v>181</v>
      </c>
      <c r="D10" s="42" t="s">
        <v>731</v>
      </c>
      <c r="E10" s="42" t="s">
        <v>721</v>
      </c>
      <c r="F10" s="42">
        <v>2005</v>
      </c>
      <c r="G10" s="42"/>
      <c r="H10" s="42" t="s">
        <v>137</v>
      </c>
      <c r="I10" s="42" t="s">
        <v>137</v>
      </c>
      <c r="J10" s="42">
        <v>2014</v>
      </c>
      <c r="K10" s="117">
        <v>16300</v>
      </c>
      <c r="L10" s="118">
        <v>0.125</v>
      </c>
      <c r="M10" s="119">
        <f t="shared" si="0"/>
        <v>56.40513840075316</v>
      </c>
      <c r="N10" s="269">
        <f t="shared" si="1"/>
        <v>15171.897231984936</v>
      </c>
      <c r="O10" s="270">
        <f t="shared" si="2"/>
        <v>1128.1027680150632</v>
      </c>
      <c r="P10" s="42"/>
      <c r="Q10" s="42"/>
      <c r="R10" s="42" t="s">
        <v>732</v>
      </c>
      <c r="S10" s="42" t="s">
        <v>139</v>
      </c>
      <c r="T10" s="43"/>
      <c r="U10" s="43"/>
    </row>
    <row r="11" spans="1:21" ht="31.2">
      <c r="A11" s="42" t="s">
        <v>733</v>
      </c>
      <c r="B11" s="42" t="s">
        <v>131</v>
      </c>
      <c r="C11" s="42" t="s">
        <v>181</v>
      </c>
      <c r="D11" s="42" t="s">
        <v>734</v>
      </c>
      <c r="E11" s="42" t="s">
        <v>735</v>
      </c>
      <c r="F11" s="42">
        <v>2005</v>
      </c>
      <c r="G11" s="42"/>
      <c r="H11" s="42" t="s">
        <v>137</v>
      </c>
      <c r="I11" s="42" t="s">
        <v>137</v>
      </c>
      <c r="J11" s="42">
        <v>2014</v>
      </c>
      <c r="K11" s="117">
        <v>9100</v>
      </c>
      <c r="L11" s="118">
        <v>0.125</v>
      </c>
      <c r="M11" s="119">
        <f t="shared" si="0"/>
        <v>31.489985242138271</v>
      </c>
      <c r="N11" s="269">
        <f t="shared" si="1"/>
        <v>8470.200295157234</v>
      </c>
      <c r="O11" s="270">
        <f t="shared" si="2"/>
        <v>629.79970484276544</v>
      </c>
      <c r="P11" s="42"/>
      <c r="Q11" s="42"/>
      <c r="R11" s="42" t="s">
        <v>193</v>
      </c>
      <c r="S11" s="42" t="s">
        <v>139</v>
      </c>
      <c r="T11" s="43"/>
      <c r="U11" s="43"/>
    </row>
    <row r="12" spans="1:21" ht="31.2">
      <c r="A12" s="42" t="s">
        <v>733</v>
      </c>
      <c r="B12" s="42" t="s">
        <v>131</v>
      </c>
      <c r="C12" s="42" t="s">
        <v>181</v>
      </c>
      <c r="D12" s="42" t="s">
        <v>736</v>
      </c>
      <c r="E12" s="42" t="s">
        <v>735</v>
      </c>
      <c r="F12" s="42">
        <v>2005</v>
      </c>
      <c r="G12" s="42"/>
      <c r="H12" s="42" t="s">
        <v>137</v>
      </c>
      <c r="I12" s="42" t="s">
        <v>137</v>
      </c>
      <c r="J12" s="42">
        <v>2014</v>
      </c>
      <c r="K12" s="117">
        <v>9100</v>
      </c>
      <c r="L12" s="118">
        <v>0.125</v>
      </c>
      <c r="M12" s="119">
        <f t="shared" si="0"/>
        <v>31.489985242138271</v>
      </c>
      <c r="N12" s="269">
        <f t="shared" si="1"/>
        <v>8470.200295157234</v>
      </c>
      <c r="O12" s="270">
        <f t="shared" si="2"/>
        <v>629.79970484276544</v>
      </c>
      <c r="P12" s="42"/>
      <c r="Q12" s="42"/>
      <c r="R12" s="42" t="s">
        <v>610</v>
      </c>
      <c r="S12" s="42" t="s">
        <v>139</v>
      </c>
      <c r="T12" s="43"/>
      <c r="U12" s="43"/>
    </row>
    <row r="13" spans="1:21" ht="31.2">
      <c r="A13" s="42" t="s">
        <v>733</v>
      </c>
      <c r="B13" s="42" t="s">
        <v>131</v>
      </c>
      <c r="C13" s="42" t="s">
        <v>181</v>
      </c>
      <c r="D13" s="42" t="s">
        <v>737</v>
      </c>
      <c r="E13" s="42" t="s">
        <v>735</v>
      </c>
      <c r="F13" s="42">
        <v>2005</v>
      </c>
      <c r="G13" s="42"/>
      <c r="H13" s="42" t="s">
        <v>137</v>
      </c>
      <c r="I13" s="42" t="s">
        <v>137</v>
      </c>
      <c r="J13" s="42">
        <v>2014</v>
      </c>
      <c r="K13" s="117">
        <v>9100</v>
      </c>
      <c r="L13" s="118">
        <v>0.125</v>
      </c>
      <c r="M13" s="119">
        <f t="shared" si="0"/>
        <v>31.489985242138271</v>
      </c>
      <c r="N13" s="269">
        <f t="shared" si="1"/>
        <v>8470.200295157234</v>
      </c>
      <c r="O13" s="270">
        <f t="shared" si="2"/>
        <v>629.79970484276544</v>
      </c>
      <c r="P13" s="42"/>
      <c r="Q13" s="42"/>
      <c r="R13" s="42" t="s">
        <v>738</v>
      </c>
      <c r="S13" s="42" t="s">
        <v>139</v>
      </c>
      <c r="T13" s="43"/>
      <c r="U13" s="43"/>
    </row>
    <row r="14" spans="1:21" ht="31.2">
      <c r="A14" s="42" t="s">
        <v>733</v>
      </c>
      <c r="B14" s="42" t="s">
        <v>131</v>
      </c>
      <c r="C14" s="42" t="s">
        <v>181</v>
      </c>
      <c r="D14" s="42" t="s">
        <v>739</v>
      </c>
      <c r="E14" s="42" t="s">
        <v>735</v>
      </c>
      <c r="F14" s="42">
        <v>2005</v>
      </c>
      <c r="G14" s="42"/>
      <c r="H14" s="42" t="s">
        <v>137</v>
      </c>
      <c r="I14" s="42" t="s">
        <v>137</v>
      </c>
      <c r="J14" s="42">
        <v>2014</v>
      </c>
      <c r="K14" s="117">
        <v>9100</v>
      </c>
      <c r="L14" s="118">
        <v>0.125</v>
      </c>
      <c r="M14" s="119">
        <f t="shared" si="0"/>
        <v>31.489985242138271</v>
      </c>
      <c r="N14" s="269">
        <f t="shared" si="1"/>
        <v>8470.200295157234</v>
      </c>
      <c r="O14" s="270">
        <f t="shared" si="2"/>
        <v>629.79970484276544</v>
      </c>
      <c r="P14" s="42"/>
      <c r="Q14" s="42"/>
      <c r="R14" s="42" t="s">
        <v>402</v>
      </c>
      <c r="S14" s="42" t="s">
        <v>139</v>
      </c>
      <c r="T14" s="43"/>
      <c r="U14" s="43"/>
    </row>
    <row r="15" spans="1:21" ht="31.2">
      <c r="A15" s="42" t="s">
        <v>733</v>
      </c>
      <c r="B15" s="42" t="s">
        <v>131</v>
      </c>
      <c r="C15" s="42" t="s">
        <v>181</v>
      </c>
      <c r="D15" s="42" t="s">
        <v>740</v>
      </c>
      <c r="E15" s="42" t="s">
        <v>735</v>
      </c>
      <c r="F15" s="42">
        <v>2005</v>
      </c>
      <c r="G15" s="42"/>
      <c r="H15" s="42" t="s">
        <v>137</v>
      </c>
      <c r="I15" s="42" t="s">
        <v>137</v>
      </c>
      <c r="J15" s="42">
        <v>2014</v>
      </c>
      <c r="K15" s="117">
        <v>9100</v>
      </c>
      <c r="L15" s="118">
        <v>0.125</v>
      </c>
      <c r="M15" s="119">
        <f t="shared" si="0"/>
        <v>31.489985242138271</v>
      </c>
      <c r="N15" s="269">
        <f t="shared" si="1"/>
        <v>8470.200295157234</v>
      </c>
      <c r="O15" s="270">
        <f t="shared" si="2"/>
        <v>629.79970484276544</v>
      </c>
      <c r="P15" s="42"/>
      <c r="Q15" s="42"/>
      <c r="R15" s="42" t="s">
        <v>231</v>
      </c>
      <c r="S15" s="42" t="s">
        <v>139</v>
      </c>
      <c r="T15" s="43"/>
      <c r="U15" s="43"/>
    </row>
    <row r="16" spans="1:21" ht="31.2">
      <c r="A16" s="42" t="s">
        <v>733</v>
      </c>
      <c r="B16" s="42" t="s">
        <v>131</v>
      </c>
      <c r="C16" s="42" t="s">
        <v>181</v>
      </c>
      <c r="D16" s="42" t="s">
        <v>741</v>
      </c>
      <c r="E16" s="42" t="s">
        <v>735</v>
      </c>
      <c r="F16" s="42">
        <v>2005</v>
      </c>
      <c r="G16" s="42"/>
      <c r="H16" s="42" t="s">
        <v>137</v>
      </c>
      <c r="I16" s="42" t="s">
        <v>137</v>
      </c>
      <c r="J16" s="42">
        <v>2014</v>
      </c>
      <c r="K16" s="117">
        <v>9100</v>
      </c>
      <c r="L16" s="118">
        <v>0.125</v>
      </c>
      <c r="M16" s="119">
        <f t="shared" si="0"/>
        <v>31.489985242138271</v>
      </c>
      <c r="N16" s="269">
        <f t="shared" si="1"/>
        <v>8470.200295157234</v>
      </c>
      <c r="O16" s="270">
        <f t="shared" si="2"/>
        <v>629.79970484276544</v>
      </c>
      <c r="P16" s="42"/>
      <c r="Q16" s="42"/>
      <c r="R16" s="42" t="s">
        <v>392</v>
      </c>
      <c r="S16" s="42" t="s">
        <v>139</v>
      </c>
      <c r="T16" s="43"/>
      <c r="U16" s="43"/>
    </row>
    <row r="17" spans="1:21" ht="31.2">
      <c r="A17" s="42" t="s">
        <v>733</v>
      </c>
      <c r="B17" s="42" t="s">
        <v>131</v>
      </c>
      <c r="C17" s="42" t="s">
        <v>181</v>
      </c>
      <c r="D17" s="42" t="s">
        <v>742</v>
      </c>
      <c r="E17" s="42" t="s">
        <v>735</v>
      </c>
      <c r="F17" s="42">
        <v>2005</v>
      </c>
      <c r="G17" s="42"/>
      <c r="H17" s="42" t="s">
        <v>137</v>
      </c>
      <c r="I17" s="42" t="s">
        <v>137</v>
      </c>
      <c r="J17" s="42">
        <v>2014</v>
      </c>
      <c r="K17" s="117">
        <v>9100</v>
      </c>
      <c r="L17" s="118">
        <v>0.125</v>
      </c>
      <c r="M17" s="119">
        <f t="shared" si="0"/>
        <v>31.489985242138271</v>
      </c>
      <c r="N17" s="269">
        <f t="shared" si="1"/>
        <v>8470.200295157234</v>
      </c>
      <c r="O17" s="270">
        <f t="shared" si="2"/>
        <v>629.79970484276544</v>
      </c>
      <c r="P17" s="42"/>
      <c r="Q17" s="42"/>
      <c r="R17" s="42" t="s">
        <v>363</v>
      </c>
      <c r="S17" s="42" t="s">
        <v>139</v>
      </c>
      <c r="T17" s="43"/>
      <c r="U17" s="43"/>
    </row>
    <row r="18" spans="1:21" ht="31.2">
      <c r="A18" s="42" t="s">
        <v>733</v>
      </c>
      <c r="B18" s="42" t="s">
        <v>131</v>
      </c>
      <c r="C18" s="42" t="s">
        <v>181</v>
      </c>
      <c r="D18" s="42" t="s">
        <v>743</v>
      </c>
      <c r="E18" s="42" t="s">
        <v>735</v>
      </c>
      <c r="F18" s="42">
        <v>2005</v>
      </c>
      <c r="G18" s="42"/>
      <c r="H18" s="42" t="s">
        <v>137</v>
      </c>
      <c r="I18" s="42" t="s">
        <v>137</v>
      </c>
      <c r="J18" s="42">
        <v>2014</v>
      </c>
      <c r="K18" s="117">
        <v>9100</v>
      </c>
      <c r="L18" s="118">
        <v>0.125</v>
      </c>
      <c r="M18" s="119">
        <f t="shared" si="0"/>
        <v>31.489985242138271</v>
      </c>
      <c r="N18" s="269">
        <f t="shared" si="1"/>
        <v>8470.200295157234</v>
      </c>
      <c r="O18" s="270">
        <f t="shared" si="2"/>
        <v>629.79970484276544</v>
      </c>
      <c r="P18" s="42"/>
      <c r="Q18" s="42"/>
      <c r="R18" s="42" t="s">
        <v>744</v>
      </c>
      <c r="S18" s="42" t="s">
        <v>139</v>
      </c>
      <c r="T18" s="43"/>
      <c r="U18" s="43"/>
    </row>
    <row r="19" spans="1:21" ht="31.2">
      <c r="A19" s="42" t="s">
        <v>733</v>
      </c>
      <c r="B19" s="42" t="s">
        <v>131</v>
      </c>
      <c r="C19" s="42" t="s">
        <v>181</v>
      </c>
      <c r="D19" s="42" t="s">
        <v>745</v>
      </c>
      <c r="E19" s="42" t="s">
        <v>735</v>
      </c>
      <c r="F19" s="42">
        <v>2005</v>
      </c>
      <c r="G19" s="42"/>
      <c r="H19" s="42" t="s">
        <v>137</v>
      </c>
      <c r="I19" s="42" t="s">
        <v>137</v>
      </c>
      <c r="J19" s="42">
        <v>2014</v>
      </c>
      <c r="K19" s="117">
        <v>9100</v>
      </c>
      <c r="L19" s="118">
        <v>0.125</v>
      </c>
      <c r="M19" s="119">
        <f t="shared" si="0"/>
        <v>31.489985242138271</v>
      </c>
      <c r="N19" s="269">
        <f t="shared" si="1"/>
        <v>8470.200295157234</v>
      </c>
      <c r="O19" s="270">
        <f t="shared" si="2"/>
        <v>629.79970484276544</v>
      </c>
      <c r="P19" s="42"/>
      <c r="Q19" s="42"/>
      <c r="R19" s="42" t="s">
        <v>219</v>
      </c>
      <c r="S19" s="42" t="s">
        <v>139</v>
      </c>
      <c r="T19" s="43"/>
      <c r="U19" s="43"/>
    </row>
    <row r="20" spans="1:21" ht="31.2">
      <c r="A20" s="42" t="s">
        <v>746</v>
      </c>
      <c r="B20" s="42" t="s">
        <v>131</v>
      </c>
      <c r="C20" s="42" t="s">
        <v>181</v>
      </c>
      <c r="D20" s="42" t="s">
        <v>747</v>
      </c>
      <c r="E20" s="42" t="s">
        <v>748</v>
      </c>
      <c r="F20" s="42">
        <v>2005</v>
      </c>
      <c r="G20" s="42"/>
      <c r="H20" s="42" t="s">
        <v>137</v>
      </c>
      <c r="I20" s="42" t="s">
        <v>137</v>
      </c>
      <c r="J20" s="42">
        <v>2014</v>
      </c>
      <c r="K20" s="117">
        <v>10850</v>
      </c>
      <c r="L20" s="118">
        <v>0.125</v>
      </c>
      <c r="M20" s="119">
        <f t="shared" si="0"/>
        <v>37.545751634857169</v>
      </c>
      <c r="N20" s="269">
        <f t="shared" si="1"/>
        <v>10099.084967302857</v>
      </c>
      <c r="O20" s="270">
        <f t="shared" si="2"/>
        <v>750.91503269714337</v>
      </c>
      <c r="P20" s="42"/>
      <c r="Q20" s="42"/>
      <c r="R20" s="42" t="s">
        <v>235</v>
      </c>
      <c r="S20" s="42" t="s">
        <v>139</v>
      </c>
      <c r="T20" s="43"/>
      <c r="U20" s="43"/>
    </row>
    <row r="21" spans="1:21" ht="31.2">
      <c r="A21" s="42" t="s">
        <v>746</v>
      </c>
      <c r="B21" s="42" t="s">
        <v>131</v>
      </c>
      <c r="C21" s="42" t="s">
        <v>181</v>
      </c>
      <c r="D21" s="42" t="s">
        <v>749</v>
      </c>
      <c r="E21" s="42" t="s">
        <v>748</v>
      </c>
      <c r="F21" s="42">
        <v>2005</v>
      </c>
      <c r="G21" s="42"/>
      <c r="H21" s="42" t="s">
        <v>137</v>
      </c>
      <c r="I21" s="42" t="s">
        <v>137</v>
      </c>
      <c r="J21" s="42">
        <v>2014</v>
      </c>
      <c r="K21" s="117">
        <v>10850</v>
      </c>
      <c r="L21" s="118">
        <v>0.125</v>
      </c>
      <c r="M21" s="119">
        <f t="shared" si="0"/>
        <v>37.545751634857169</v>
      </c>
      <c r="N21" s="269">
        <f t="shared" si="1"/>
        <v>10099.084967302857</v>
      </c>
      <c r="O21" s="270">
        <f t="shared" si="2"/>
        <v>750.91503269714337</v>
      </c>
      <c r="P21" s="42"/>
      <c r="Q21" s="42"/>
      <c r="R21" s="42" t="s">
        <v>482</v>
      </c>
      <c r="S21" s="42" t="s">
        <v>139</v>
      </c>
      <c r="T21" s="43"/>
      <c r="U21" s="43"/>
    </row>
    <row r="22" spans="1:21" ht="31.2">
      <c r="A22" s="42" t="s">
        <v>746</v>
      </c>
      <c r="B22" s="42" t="s">
        <v>131</v>
      </c>
      <c r="C22" s="42" t="s">
        <v>181</v>
      </c>
      <c r="D22" s="42" t="s">
        <v>750</v>
      </c>
      <c r="E22" s="42" t="s">
        <v>748</v>
      </c>
      <c r="F22" s="42">
        <v>2005</v>
      </c>
      <c r="G22" s="42"/>
      <c r="H22" s="42" t="s">
        <v>137</v>
      </c>
      <c r="I22" s="42" t="s">
        <v>137</v>
      </c>
      <c r="J22" s="42">
        <v>2014</v>
      </c>
      <c r="K22" s="117">
        <v>10850</v>
      </c>
      <c r="L22" s="118">
        <v>0.125</v>
      </c>
      <c r="M22" s="119">
        <f t="shared" si="0"/>
        <v>37.545751634857169</v>
      </c>
      <c r="N22" s="269">
        <f t="shared" si="1"/>
        <v>10099.084967302857</v>
      </c>
      <c r="O22" s="270">
        <f t="shared" si="2"/>
        <v>750.91503269714337</v>
      </c>
      <c r="P22" s="42"/>
      <c r="Q22" s="42"/>
      <c r="R22" s="42" t="s">
        <v>751</v>
      </c>
      <c r="S22" s="42" t="s">
        <v>139</v>
      </c>
      <c r="T22" s="43"/>
      <c r="U22" s="43"/>
    </row>
    <row r="23" spans="1:21" ht="31.2">
      <c r="A23" s="42" t="s">
        <v>746</v>
      </c>
      <c r="B23" s="42" t="s">
        <v>131</v>
      </c>
      <c r="C23" s="42" t="s">
        <v>181</v>
      </c>
      <c r="D23" s="42" t="s">
        <v>752</v>
      </c>
      <c r="E23" s="42" t="s">
        <v>748</v>
      </c>
      <c r="F23" s="42">
        <v>2005</v>
      </c>
      <c r="G23" s="42"/>
      <c r="H23" s="42" t="s">
        <v>137</v>
      </c>
      <c r="I23" s="42" t="s">
        <v>137</v>
      </c>
      <c r="J23" s="42">
        <v>2014</v>
      </c>
      <c r="K23" s="117">
        <v>10850</v>
      </c>
      <c r="L23" s="118">
        <v>0.125</v>
      </c>
      <c r="M23" s="119">
        <f t="shared" si="0"/>
        <v>37.545751634857169</v>
      </c>
      <c r="N23" s="269">
        <f t="shared" si="1"/>
        <v>10099.084967302857</v>
      </c>
      <c r="O23" s="270">
        <f t="shared" si="2"/>
        <v>750.91503269714337</v>
      </c>
      <c r="P23" s="42"/>
      <c r="Q23" s="42"/>
      <c r="R23" s="42" t="s">
        <v>753</v>
      </c>
      <c r="S23" s="42" t="s">
        <v>139</v>
      </c>
      <c r="T23" s="43"/>
      <c r="U23" s="43"/>
    </row>
    <row r="24" spans="1:21" ht="31.2">
      <c r="A24" s="42" t="s">
        <v>746</v>
      </c>
      <c r="B24" s="42" t="s">
        <v>131</v>
      </c>
      <c r="C24" s="42" t="s">
        <v>181</v>
      </c>
      <c r="D24" s="42" t="s">
        <v>754</v>
      </c>
      <c r="E24" s="42" t="s">
        <v>748</v>
      </c>
      <c r="F24" s="42">
        <v>2005</v>
      </c>
      <c r="G24" s="42"/>
      <c r="H24" s="42" t="s">
        <v>137</v>
      </c>
      <c r="I24" s="42" t="s">
        <v>137</v>
      </c>
      <c r="J24" s="42">
        <v>2014</v>
      </c>
      <c r="K24" s="117">
        <v>10850</v>
      </c>
      <c r="L24" s="118">
        <v>0.125</v>
      </c>
      <c r="M24" s="119">
        <f t="shared" si="0"/>
        <v>37.545751634857169</v>
      </c>
      <c r="N24" s="269">
        <f t="shared" si="1"/>
        <v>10099.084967302857</v>
      </c>
      <c r="O24" s="270">
        <f t="shared" si="2"/>
        <v>750.91503269714337</v>
      </c>
      <c r="P24" s="42"/>
      <c r="Q24" s="42"/>
      <c r="R24" s="42" t="s">
        <v>755</v>
      </c>
      <c r="S24" s="42" t="s">
        <v>139</v>
      </c>
      <c r="T24" s="43"/>
      <c r="U24" s="43"/>
    </row>
    <row r="25" spans="1:21" ht="31.2">
      <c r="A25" s="42" t="s">
        <v>756</v>
      </c>
      <c r="B25" s="42" t="s">
        <v>131</v>
      </c>
      <c r="C25" s="42" t="s">
        <v>181</v>
      </c>
      <c r="D25" s="42" t="s">
        <v>757</v>
      </c>
      <c r="E25" s="42" t="s">
        <v>758</v>
      </c>
      <c r="F25" s="42">
        <v>2005</v>
      </c>
      <c r="G25" s="42"/>
      <c r="H25" s="42" t="s">
        <v>137</v>
      </c>
      <c r="I25" s="42" t="s">
        <v>137</v>
      </c>
      <c r="J25" s="42">
        <v>2014</v>
      </c>
      <c r="K25" s="117">
        <v>5880</v>
      </c>
      <c r="L25" s="118">
        <v>0.125</v>
      </c>
      <c r="M25" s="119">
        <f t="shared" si="0"/>
        <v>20.347375079535496</v>
      </c>
      <c r="N25" s="269">
        <f t="shared" si="1"/>
        <v>5473.0524984092899</v>
      </c>
      <c r="O25" s="270">
        <f t="shared" si="2"/>
        <v>406.94750159070992</v>
      </c>
      <c r="P25" s="42"/>
      <c r="Q25" s="42"/>
      <c r="R25" s="42" t="s">
        <v>301</v>
      </c>
      <c r="S25" s="42" t="s">
        <v>139</v>
      </c>
      <c r="T25" s="43"/>
      <c r="U25" s="43"/>
    </row>
    <row r="26" spans="1:21" ht="31.2">
      <c r="A26" s="42" t="s">
        <v>756</v>
      </c>
      <c r="B26" s="42" t="s">
        <v>131</v>
      </c>
      <c r="C26" s="42" t="s">
        <v>181</v>
      </c>
      <c r="D26" s="42" t="s">
        <v>759</v>
      </c>
      <c r="E26" s="42" t="s">
        <v>758</v>
      </c>
      <c r="F26" s="42">
        <v>2005</v>
      </c>
      <c r="G26" s="42"/>
      <c r="H26" s="42" t="s">
        <v>137</v>
      </c>
      <c r="I26" s="42" t="s">
        <v>137</v>
      </c>
      <c r="J26" s="42">
        <v>2014</v>
      </c>
      <c r="K26" s="117">
        <v>5880</v>
      </c>
      <c r="L26" s="118">
        <v>0.125</v>
      </c>
      <c r="M26" s="119">
        <f t="shared" si="0"/>
        <v>20.347375079535496</v>
      </c>
      <c r="N26" s="269">
        <f t="shared" si="1"/>
        <v>5473.0524984092899</v>
      </c>
      <c r="O26" s="270">
        <f t="shared" si="2"/>
        <v>406.94750159070992</v>
      </c>
      <c r="P26" s="42"/>
      <c r="Q26" s="42"/>
      <c r="R26" s="42" t="s">
        <v>330</v>
      </c>
      <c r="S26" s="42" t="s">
        <v>139</v>
      </c>
      <c r="T26" s="43"/>
      <c r="U26" s="43"/>
    </row>
    <row r="27" spans="1:21" ht="31.2">
      <c r="A27" s="42" t="s">
        <v>756</v>
      </c>
      <c r="B27" s="42" t="s">
        <v>131</v>
      </c>
      <c r="C27" s="42" t="s">
        <v>181</v>
      </c>
      <c r="D27" s="42" t="s">
        <v>760</v>
      </c>
      <c r="E27" s="42" t="s">
        <v>758</v>
      </c>
      <c r="F27" s="42">
        <v>2005</v>
      </c>
      <c r="G27" s="42"/>
      <c r="H27" s="42" t="s">
        <v>137</v>
      </c>
      <c r="I27" s="42" t="s">
        <v>137</v>
      </c>
      <c r="J27" s="42">
        <v>2014</v>
      </c>
      <c r="K27" s="117">
        <v>5880</v>
      </c>
      <c r="L27" s="118">
        <v>0.125</v>
      </c>
      <c r="M27" s="119">
        <f t="shared" si="0"/>
        <v>20.347375079535496</v>
      </c>
      <c r="N27" s="269">
        <f t="shared" si="1"/>
        <v>5473.0524984092899</v>
      </c>
      <c r="O27" s="270">
        <f t="shared" si="2"/>
        <v>406.94750159070992</v>
      </c>
      <c r="P27" s="42"/>
      <c r="Q27" s="42"/>
      <c r="R27" s="42" t="s">
        <v>229</v>
      </c>
      <c r="S27" s="42" t="s">
        <v>139</v>
      </c>
      <c r="T27" s="43"/>
      <c r="U27" s="43"/>
    </row>
    <row r="28" spans="1:21" ht="31.2">
      <c r="A28" s="42" t="s">
        <v>756</v>
      </c>
      <c r="B28" s="42" t="s">
        <v>131</v>
      </c>
      <c r="C28" s="42"/>
      <c r="D28" s="42" t="s">
        <v>761</v>
      </c>
      <c r="E28" s="42" t="s">
        <v>758</v>
      </c>
      <c r="F28" s="42">
        <v>2005</v>
      </c>
      <c r="G28" s="42"/>
      <c r="H28" s="42" t="s">
        <v>137</v>
      </c>
      <c r="I28" s="42" t="s">
        <v>137</v>
      </c>
      <c r="J28" s="42">
        <v>2014</v>
      </c>
      <c r="K28" s="117">
        <v>5880</v>
      </c>
      <c r="L28" s="118">
        <v>0.125</v>
      </c>
      <c r="M28" s="119">
        <f t="shared" si="0"/>
        <v>20.347375079535496</v>
      </c>
      <c r="N28" s="269">
        <f t="shared" si="1"/>
        <v>5473.0524984092899</v>
      </c>
      <c r="O28" s="270">
        <f t="shared" si="2"/>
        <v>406.94750159070992</v>
      </c>
      <c r="P28" s="42"/>
      <c r="Q28" s="42"/>
      <c r="R28" s="42" t="s">
        <v>402</v>
      </c>
      <c r="S28" s="42" t="s">
        <v>139</v>
      </c>
      <c r="T28" s="43"/>
      <c r="U28" s="43"/>
    </row>
    <row r="29" spans="1:21" ht="31.2">
      <c r="A29" s="42" t="s">
        <v>756</v>
      </c>
      <c r="B29" s="42" t="s">
        <v>131</v>
      </c>
      <c r="C29" s="42"/>
      <c r="D29" s="42" t="s">
        <v>762</v>
      </c>
      <c r="E29" s="42" t="s">
        <v>758</v>
      </c>
      <c r="F29" s="42">
        <v>2005</v>
      </c>
      <c r="G29" s="42"/>
      <c r="H29" s="42" t="s">
        <v>137</v>
      </c>
      <c r="I29" s="42" t="s">
        <v>137</v>
      </c>
      <c r="J29" s="42">
        <v>2014</v>
      </c>
      <c r="K29" s="117">
        <v>5880</v>
      </c>
      <c r="L29" s="118">
        <v>0.125</v>
      </c>
      <c r="M29" s="119">
        <f t="shared" si="0"/>
        <v>20.347375079535496</v>
      </c>
      <c r="N29" s="269">
        <f t="shared" si="1"/>
        <v>5473.0524984092899</v>
      </c>
      <c r="O29" s="270">
        <f t="shared" si="2"/>
        <v>406.94750159070992</v>
      </c>
      <c r="P29" s="42"/>
      <c r="Q29" s="42"/>
      <c r="R29" s="42" t="s">
        <v>223</v>
      </c>
      <c r="S29" s="42" t="s">
        <v>139</v>
      </c>
      <c r="T29" s="43"/>
      <c r="U29" s="43"/>
    </row>
    <row r="30" spans="1:21" ht="31.2">
      <c r="A30" s="42" t="s">
        <v>763</v>
      </c>
      <c r="B30" s="42" t="s">
        <v>131</v>
      </c>
      <c r="C30" s="42" t="s">
        <v>181</v>
      </c>
      <c r="D30" s="42" t="s">
        <v>764</v>
      </c>
      <c r="E30" s="42" t="s">
        <v>765</v>
      </c>
      <c r="F30" s="42">
        <v>2005</v>
      </c>
      <c r="G30" s="42"/>
      <c r="H30" s="42" t="s">
        <v>137</v>
      </c>
      <c r="I30" s="42" t="s">
        <v>137</v>
      </c>
      <c r="J30" s="42">
        <v>2014</v>
      </c>
      <c r="K30" s="117">
        <v>8120</v>
      </c>
      <c r="L30" s="118">
        <v>0.125</v>
      </c>
      <c r="M30" s="119">
        <f t="shared" si="0"/>
        <v>28.098756062215688</v>
      </c>
      <c r="N30" s="269">
        <f t="shared" si="1"/>
        <v>7558.0248787556866</v>
      </c>
      <c r="O30" s="270">
        <f t="shared" si="2"/>
        <v>561.97512124431375</v>
      </c>
      <c r="P30" s="42"/>
      <c r="Q30" s="42"/>
      <c r="R30" s="42" t="s">
        <v>766</v>
      </c>
      <c r="S30" s="42" t="s">
        <v>139</v>
      </c>
      <c r="T30" s="43"/>
      <c r="U30" s="43"/>
    </row>
    <row r="31" spans="1:21" ht="31.2">
      <c r="A31" s="42" t="s">
        <v>763</v>
      </c>
      <c r="B31" s="42" t="s">
        <v>131</v>
      </c>
      <c r="C31" s="42" t="s">
        <v>181</v>
      </c>
      <c r="D31" s="42" t="s">
        <v>767</v>
      </c>
      <c r="E31" s="42" t="s">
        <v>765</v>
      </c>
      <c r="F31" s="42">
        <v>2005</v>
      </c>
      <c r="G31" s="42"/>
      <c r="H31" s="42" t="s">
        <v>137</v>
      </c>
      <c r="I31" s="42" t="s">
        <v>137</v>
      </c>
      <c r="J31" s="42">
        <v>2014</v>
      </c>
      <c r="K31" s="117">
        <v>8120</v>
      </c>
      <c r="L31" s="118">
        <v>0.125</v>
      </c>
      <c r="M31" s="119">
        <f t="shared" si="0"/>
        <v>28.098756062215688</v>
      </c>
      <c r="N31" s="269">
        <f t="shared" si="1"/>
        <v>7558.0248787556866</v>
      </c>
      <c r="O31" s="270">
        <f t="shared" si="2"/>
        <v>561.97512124431375</v>
      </c>
      <c r="P31" s="42"/>
      <c r="Q31" s="42"/>
      <c r="R31" s="42" t="s">
        <v>732</v>
      </c>
      <c r="S31" s="42" t="s">
        <v>139</v>
      </c>
      <c r="T31" s="43"/>
      <c r="U31" s="43"/>
    </row>
    <row r="32" spans="1:21" ht="31.2">
      <c r="A32" s="42" t="s">
        <v>763</v>
      </c>
      <c r="B32" s="42" t="s">
        <v>131</v>
      </c>
      <c r="C32" s="42" t="s">
        <v>181</v>
      </c>
      <c r="D32" s="42" t="s">
        <v>768</v>
      </c>
      <c r="E32" s="42" t="s">
        <v>765</v>
      </c>
      <c r="F32" s="42">
        <v>2005</v>
      </c>
      <c r="G32" s="42"/>
      <c r="H32" s="42" t="s">
        <v>137</v>
      </c>
      <c r="I32" s="42" t="s">
        <v>137</v>
      </c>
      <c r="J32" s="42">
        <v>2014</v>
      </c>
      <c r="K32" s="117">
        <v>8120</v>
      </c>
      <c r="L32" s="118">
        <v>0.125</v>
      </c>
      <c r="M32" s="119">
        <f t="shared" si="0"/>
        <v>28.098756062215688</v>
      </c>
      <c r="N32" s="269">
        <f t="shared" si="1"/>
        <v>7558.0248787556866</v>
      </c>
      <c r="O32" s="270">
        <f t="shared" si="2"/>
        <v>561.97512124431375</v>
      </c>
      <c r="P32" s="42"/>
      <c r="Q32" s="42"/>
      <c r="R32" s="42" t="s">
        <v>214</v>
      </c>
      <c r="S32" s="42" t="s">
        <v>139</v>
      </c>
      <c r="T32" s="43"/>
      <c r="U32" s="43"/>
    </row>
    <row r="33" spans="1:21" ht="31.2">
      <c r="A33" s="42" t="s">
        <v>763</v>
      </c>
      <c r="B33" s="42" t="s">
        <v>131</v>
      </c>
      <c r="C33" s="42" t="s">
        <v>181</v>
      </c>
      <c r="D33" s="42" t="s">
        <v>769</v>
      </c>
      <c r="E33" s="42" t="s">
        <v>765</v>
      </c>
      <c r="F33" s="42">
        <v>2005</v>
      </c>
      <c r="G33" s="42"/>
      <c r="H33" s="42" t="s">
        <v>137</v>
      </c>
      <c r="I33" s="42" t="s">
        <v>137</v>
      </c>
      <c r="J33" s="42">
        <v>2014</v>
      </c>
      <c r="K33" s="117">
        <v>8120</v>
      </c>
      <c r="L33" s="118">
        <v>0.125</v>
      </c>
      <c r="M33" s="119">
        <f t="shared" si="0"/>
        <v>28.098756062215688</v>
      </c>
      <c r="N33" s="269">
        <f t="shared" si="1"/>
        <v>7558.0248787556866</v>
      </c>
      <c r="O33" s="270">
        <f t="shared" si="2"/>
        <v>561.97512124431375</v>
      </c>
      <c r="P33" s="42"/>
      <c r="Q33" s="42"/>
      <c r="R33" s="42" t="s">
        <v>214</v>
      </c>
      <c r="S33" s="42" t="s">
        <v>139</v>
      </c>
      <c r="T33" s="43"/>
      <c r="U33" s="43"/>
    </row>
    <row r="34" spans="1:21" ht="31.2">
      <c r="A34" s="42" t="s">
        <v>763</v>
      </c>
      <c r="B34" s="42" t="s">
        <v>131</v>
      </c>
      <c r="C34" s="42" t="s">
        <v>181</v>
      </c>
      <c r="D34" s="42" t="s">
        <v>770</v>
      </c>
      <c r="E34" s="42" t="s">
        <v>765</v>
      </c>
      <c r="F34" s="42">
        <v>2005</v>
      </c>
      <c r="G34" s="42"/>
      <c r="H34" s="42" t="s">
        <v>137</v>
      </c>
      <c r="I34" s="42" t="s">
        <v>137</v>
      </c>
      <c r="J34" s="42">
        <v>2014</v>
      </c>
      <c r="K34" s="117">
        <v>8120</v>
      </c>
      <c r="L34" s="118">
        <v>0.125</v>
      </c>
      <c r="M34" s="119">
        <f t="shared" si="0"/>
        <v>28.098756062215688</v>
      </c>
      <c r="N34" s="269">
        <f t="shared" si="1"/>
        <v>7558.0248787556866</v>
      </c>
      <c r="O34" s="270">
        <f t="shared" si="2"/>
        <v>561.97512124431375</v>
      </c>
      <c r="P34" s="42"/>
      <c r="Q34" s="42"/>
      <c r="R34" s="42" t="s">
        <v>193</v>
      </c>
      <c r="S34" s="42" t="s">
        <v>139</v>
      </c>
      <c r="T34" s="43"/>
      <c r="U34" s="43"/>
    </row>
    <row r="35" spans="1:21" ht="31.2">
      <c r="A35" s="42" t="s">
        <v>763</v>
      </c>
      <c r="B35" s="42" t="s">
        <v>131</v>
      </c>
      <c r="C35" s="42" t="s">
        <v>181</v>
      </c>
      <c r="D35" s="42" t="s">
        <v>181</v>
      </c>
      <c r="E35" s="42" t="s">
        <v>765</v>
      </c>
      <c r="F35" s="42">
        <v>2005</v>
      </c>
      <c r="G35" s="42"/>
      <c r="H35" s="42" t="s">
        <v>137</v>
      </c>
      <c r="I35" s="42" t="s">
        <v>137</v>
      </c>
      <c r="J35" s="42">
        <v>2014</v>
      </c>
      <c r="K35" s="117">
        <v>8120</v>
      </c>
      <c r="L35" s="118">
        <v>0.125</v>
      </c>
      <c r="M35" s="119">
        <f t="shared" si="0"/>
        <v>28.098756062215688</v>
      </c>
      <c r="N35" s="269">
        <f t="shared" si="1"/>
        <v>7558.0248787556866</v>
      </c>
      <c r="O35" s="270">
        <f t="shared" si="2"/>
        <v>561.97512124431375</v>
      </c>
      <c r="P35" s="42"/>
      <c r="Q35" s="42"/>
      <c r="R35" s="42" t="s">
        <v>724</v>
      </c>
      <c r="S35" s="42" t="s">
        <v>139</v>
      </c>
      <c r="T35" s="43"/>
      <c r="U35" s="43"/>
    </row>
    <row r="36" spans="1:21" ht="31.2">
      <c r="A36" s="42" t="s">
        <v>763</v>
      </c>
      <c r="B36" s="42" t="s">
        <v>131</v>
      </c>
      <c r="C36" s="42" t="s">
        <v>181</v>
      </c>
      <c r="D36" s="42" t="s">
        <v>181</v>
      </c>
      <c r="E36" s="42" t="s">
        <v>765</v>
      </c>
      <c r="F36" s="42">
        <v>2005</v>
      </c>
      <c r="G36" s="42"/>
      <c r="H36" s="42" t="s">
        <v>137</v>
      </c>
      <c r="I36" s="42" t="s">
        <v>137</v>
      </c>
      <c r="J36" s="42">
        <v>2014</v>
      </c>
      <c r="K36" s="117">
        <v>8120</v>
      </c>
      <c r="L36" s="118">
        <v>0.125</v>
      </c>
      <c r="M36" s="119">
        <f t="shared" si="0"/>
        <v>28.098756062215688</v>
      </c>
      <c r="N36" s="269">
        <f t="shared" si="1"/>
        <v>7558.0248787556866</v>
      </c>
      <c r="O36" s="270">
        <f t="shared" si="2"/>
        <v>561.97512124431375</v>
      </c>
      <c r="P36" s="42"/>
      <c r="Q36" s="42"/>
      <c r="R36" s="42" t="s">
        <v>724</v>
      </c>
      <c r="S36" s="42" t="s">
        <v>139</v>
      </c>
      <c r="T36" s="43"/>
      <c r="U36" s="43"/>
    </row>
    <row r="37" spans="1:21" ht="31.2">
      <c r="A37" s="42" t="s">
        <v>771</v>
      </c>
      <c r="B37" s="42" t="s">
        <v>131</v>
      </c>
      <c r="C37" s="42" t="s">
        <v>181</v>
      </c>
      <c r="D37" s="42" t="s">
        <v>181</v>
      </c>
      <c r="E37" s="42" t="s">
        <v>771</v>
      </c>
      <c r="F37" s="42">
        <v>2005</v>
      </c>
      <c r="G37" s="42"/>
      <c r="H37" s="42" t="s">
        <v>137</v>
      </c>
      <c r="I37" s="42" t="s">
        <v>137</v>
      </c>
      <c r="J37" s="42">
        <v>2014</v>
      </c>
      <c r="K37" s="117">
        <v>4060</v>
      </c>
      <c r="L37" s="118">
        <v>0.125</v>
      </c>
      <c r="M37" s="119">
        <f t="shared" si="0"/>
        <v>14.049378031107844</v>
      </c>
      <c r="N37" s="269">
        <f t="shared" si="1"/>
        <v>3779.0124393778433</v>
      </c>
      <c r="O37" s="270">
        <f t="shared" si="2"/>
        <v>280.98756062215688</v>
      </c>
      <c r="P37" s="42"/>
      <c r="Q37" s="42"/>
      <c r="R37" s="42" t="s">
        <v>724</v>
      </c>
      <c r="S37" s="42" t="s">
        <v>139</v>
      </c>
      <c r="T37" s="43"/>
      <c r="U37" s="43"/>
    </row>
    <row r="38" spans="1:21" ht="31.2">
      <c r="A38" s="42" t="s">
        <v>771</v>
      </c>
      <c r="B38" s="42" t="s">
        <v>131</v>
      </c>
      <c r="C38" s="42" t="s">
        <v>181</v>
      </c>
      <c r="D38" s="42" t="s">
        <v>181</v>
      </c>
      <c r="E38" s="42" t="s">
        <v>771</v>
      </c>
      <c r="F38" s="42">
        <v>2005</v>
      </c>
      <c r="G38" s="42"/>
      <c r="H38" s="42" t="s">
        <v>137</v>
      </c>
      <c r="I38" s="42" t="s">
        <v>137</v>
      </c>
      <c r="J38" s="42">
        <v>2014</v>
      </c>
      <c r="K38" s="117">
        <v>4060</v>
      </c>
      <c r="L38" s="118">
        <v>0.125</v>
      </c>
      <c r="M38" s="119">
        <f t="shared" si="0"/>
        <v>14.049378031107844</v>
      </c>
      <c r="N38" s="269">
        <f t="shared" si="1"/>
        <v>3779.0124393778433</v>
      </c>
      <c r="O38" s="270">
        <f t="shared" si="2"/>
        <v>280.98756062215688</v>
      </c>
      <c r="P38" s="42"/>
      <c r="Q38" s="42"/>
      <c r="R38" s="42" t="s">
        <v>724</v>
      </c>
      <c r="S38" s="42" t="s">
        <v>139</v>
      </c>
      <c r="T38" s="43"/>
      <c r="U38" s="43"/>
    </row>
    <row r="39" spans="1:21" ht="31.2">
      <c r="A39" s="42" t="s">
        <v>772</v>
      </c>
      <c r="B39" s="42" t="s">
        <v>131</v>
      </c>
      <c r="C39" s="42" t="s">
        <v>181</v>
      </c>
      <c r="D39" s="42" t="s">
        <v>773</v>
      </c>
      <c r="E39" s="42" t="s">
        <v>772</v>
      </c>
      <c r="F39" s="42">
        <v>2005</v>
      </c>
      <c r="G39" s="42"/>
      <c r="H39" s="42" t="s">
        <v>137</v>
      </c>
      <c r="I39" s="42" t="s">
        <v>137</v>
      </c>
      <c r="J39" s="42">
        <v>2014</v>
      </c>
      <c r="K39" s="117">
        <v>14350</v>
      </c>
      <c r="L39" s="118">
        <v>0.125</v>
      </c>
      <c r="M39" s="119">
        <f t="shared" si="0"/>
        <v>49.657284420294964</v>
      </c>
      <c r="N39" s="269">
        <f t="shared" si="1"/>
        <v>13356.854311594101</v>
      </c>
      <c r="O39" s="270">
        <f t="shared" si="2"/>
        <v>993.14568840589925</v>
      </c>
      <c r="P39" s="42"/>
      <c r="Q39" s="42"/>
      <c r="R39" s="42" t="s">
        <v>231</v>
      </c>
      <c r="S39" s="42" t="s">
        <v>139</v>
      </c>
      <c r="T39" s="43"/>
      <c r="U39" s="43"/>
    </row>
    <row r="40" spans="1:21" ht="31.2">
      <c r="A40" s="42" t="s">
        <v>772</v>
      </c>
      <c r="B40" s="42" t="s">
        <v>131</v>
      </c>
      <c r="C40" s="42" t="s">
        <v>181</v>
      </c>
      <c r="D40" s="42" t="s">
        <v>774</v>
      </c>
      <c r="E40" s="42" t="s">
        <v>772</v>
      </c>
      <c r="F40" s="42">
        <v>2005</v>
      </c>
      <c r="G40" s="42"/>
      <c r="H40" s="42" t="s">
        <v>137</v>
      </c>
      <c r="I40" s="42" t="s">
        <v>137</v>
      </c>
      <c r="J40" s="42">
        <v>2014</v>
      </c>
      <c r="K40" s="117">
        <v>14350</v>
      </c>
      <c r="L40" s="118">
        <v>0.125</v>
      </c>
      <c r="M40" s="119">
        <f t="shared" si="0"/>
        <v>49.657284420294964</v>
      </c>
      <c r="N40" s="269">
        <f t="shared" si="1"/>
        <v>13356.854311594101</v>
      </c>
      <c r="O40" s="270">
        <f t="shared" si="2"/>
        <v>993.14568840589925</v>
      </c>
      <c r="P40" s="42"/>
      <c r="Q40" s="42"/>
      <c r="R40" s="42" t="s">
        <v>738</v>
      </c>
      <c r="S40" s="42" t="s">
        <v>139</v>
      </c>
      <c r="T40" s="43"/>
      <c r="U40" s="43"/>
    </row>
    <row r="41" spans="1:21" ht="31.2">
      <c r="A41" s="42" t="s">
        <v>772</v>
      </c>
      <c r="B41" s="42" t="s">
        <v>131</v>
      </c>
      <c r="C41" s="42" t="s">
        <v>181</v>
      </c>
      <c r="D41" s="42" t="s">
        <v>775</v>
      </c>
      <c r="E41" s="42" t="s">
        <v>772</v>
      </c>
      <c r="F41" s="42">
        <v>2005</v>
      </c>
      <c r="G41" s="42"/>
      <c r="H41" s="42" t="s">
        <v>137</v>
      </c>
      <c r="I41" s="42" t="s">
        <v>137</v>
      </c>
      <c r="J41" s="42">
        <v>2014</v>
      </c>
      <c r="K41" s="117">
        <v>14350</v>
      </c>
      <c r="L41" s="118">
        <v>0.125</v>
      </c>
      <c r="M41" s="119">
        <f t="shared" si="0"/>
        <v>49.657284420294964</v>
      </c>
      <c r="N41" s="269">
        <f t="shared" si="1"/>
        <v>13356.854311594101</v>
      </c>
      <c r="O41" s="270">
        <f t="shared" si="2"/>
        <v>993.14568840589925</v>
      </c>
      <c r="P41" s="42"/>
      <c r="Q41" s="42"/>
      <c r="R41" s="42" t="s">
        <v>776</v>
      </c>
      <c r="S41" s="42"/>
      <c r="T41" s="43"/>
      <c r="U41" s="43"/>
    </row>
    <row r="42" spans="1:21" ht="31.2">
      <c r="A42" s="42" t="s">
        <v>772</v>
      </c>
      <c r="B42" s="42" t="s">
        <v>131</v>
      </c>
      <c r="C42" s="42" t="s">
        <v>181</v>
      </c>
      <c r="D42" s="42" t="s">
        <v>777</v>
      </c>
      <c r="E42" s="42" t="s">
        <v>772</v>
      </c>
      <c r="F42" s="42">
        <v>2005</v>
      </c>
      <c r="G42" s="42"/>
      <c r="H42" s="42" t="s">
        <v>137</v>
      </c>
      <c r="I42" s="42" t="s">
        <v>137</v>
      </c>
      <c r="J42" s="42">
        <v>2014</v>
      </c>
      <c r="K42" s="117">
        <v>14350</v>
      </c>
      <c r="L42" s="118">
        <v>0.125</v>
      </c>
      <c r="M42" s="119">
        <f t="shared" si="0"/>
        <v>49.657284420294964</v>
      </c>
      <c r="N42" s="269">
        <f t="shared" si="1"/>
        <v>13356.854311594101</v>
      </c>
      <c r="O42" s="270">
        <f t="shared" si="2"/>
        <v>993.14568840589925</v>
      </c>
      <c r="P42" s="42"/>
      <c r="Q42" s="42"/>
      <c r="R42" s="42" t="s">
        <v>778</v>
      </c>
      <c r="S42" s="42" t="s">
        <v>139</v>
      </c>
      <c r="T42" s="43"/>
      <c r="U42" s="43"/>
    </row>
    <row r="43" spans="1:21" ht="31.2">
      <c r="A43" s="42" t="s">
        <v>772</v>
      </c>
      <c r="B43" s="42" t="s">
        <v>131</v>
      </c>
      <c r="C43" s="42" t="s">
        <v>181</v>
      </c>
      <c r="D43" s="42" t="s">
        <v>779</v>
      </c>
      <c r="E43" s="42" t="s">
        <v>772</v>
      </c>
      <c r="F43" s="42">
        <v>2005</v>
      </c>
      <c r="G43" s="42"/>
      <c r="H43" s="42" t="s">
        <v>137</v>
      </c>
      <c r="I43" s="42" t="s">
        <v>137</v>
      </c>
      <c r="J43" s="42">
        <v>2014</v>
      </c>
      <c r="K43" s="117">
        <v>14350</v>
      </c>
      <c r="L43" s="118">
        <v>0.125</v>
      </c>
      <c r="M43" s="119">
        <f t="shared" si="0"/>
        <v>49.657284420294964</v>
      </c>
      <c r="N43" s="269">
        <f t="shared" si="1"/>
        <v>13356.854311594101</v>
      </c>
      <c r="O43" s="270">
        <f t="shared" si="2"/>
        <v>993.14568840589925</v>
      </c>
      <c r="P43" s="42"/>
      <c r="Q43" s="42"/>
      <c r="R43" s="42" t="s">
        <v>744</v>
      </c>
      <c r="S43" s="42" t="s">
        <v>139</v>
      </c>
      <c r="T43" s="43"/>
      <c r="U43" s="43"/>
    </row>
    <row r="44" spans="1:21" ht="31.2">
      <c r="A44" s="42" t="s">
        <v>772</v>
      </c>
      <c r="B44" s="42" t="s">
        <v>131</v>
      </c>
      <c r="C44" s="42" t="s">
        <v>181</v>
      </c>
      <c r="D44" s="42" t="s">
        <v>780</v>
      </c>
      <c r="E44" s="42" t="s">
        <v>772</v>
      </c>
      <c r="F44" s="42">
        <v>2005</v>
      </c>
      <c r="G44" s="42"/>
      <c r="H44" s="42" t="s">
        <v>137</v>
      </c>
      <c r="I44" s="42" t="s">
        <v>137</v>
      </c>
      <c r="J44" s="42">
        <v>2014</v>
      </c>
      <c r="K44" s="117">
        <v>14350</v>
      </c>
      <c r="L44" s="118">
        <v>0.125</v>
      </c>
      <c r="M44" s="119">
        <f t="shared" si="0"/>
        <v>49.657284420294964</v>
      </c>
      <c r="N44" s="269">
        <f t="shared" si="1"/>
        <v>13356.854311594101</v>
      </c>
      <c r="O44" s="270">
        <f t="shared" si="2"/>
        <v>993.14568840589925</v>
      </c>
      <c r="P44" s="42"/>
      <c r="Q44" s="42"/>
      <c r="R44" s="42" t="s">
        <v>402</v>
      </c>
      <c r="S44" s="42" t="s">
        <v>139</v>
      </c>
      <c r="T44" s="43"/>
      <c r="U44" s="43"/>
    </row>
    <row r="45" spans="1:21" ht="31.2">
      <c r="A45" s="42" t="s">
        <v>772</v>
      </c>
      <c r="B45" s="42" t="s">
        <v>131</v>
      </c>
      <c r="C45" s="42" t="s">
        <v>181</v>
      </c>
      <c r="D45" s="42" t="s">
        <v>781</v>
      </c>
      <c r="E45" s="42" t="s">
        <v>772</v>
      </c>
      <c r="F45" s="42">
        <v>2005</v>
      </c>
      <c r="G45" s="42"/>
      <c r="H45" s="42" t="s">
        <v>137</v>
      </c>
      <c r="I45" s="42" t="s">
        <v>137</v>
      </c>
      <c r="J45" s="42">
        <v>2014</v>
      </c>
      <c r="K45" s="117">
        <v>14350</v>
      </c>
      <c r="L45" s="118">
        <v>0.125</v>
      </c>
      <c r="M45" s="119">
        <f t="shared" si="0"/>
        <v>49.657284420294964</v>
      </c>
      <c r="N45" s="269">
        <f t="shared" si="1"/>
        <v>13356.854311594101</v>
      </c>
      <c r="O45" s="270">
        <f t="shared" si="2"/>
        <v>993.14568840589925</v>
      </c>
      <c r="P45" s="42"/>
      <c r="Q45" s="42"/>
      <c r="R45" s="42" t="s">
        <v>229</v>
      </c>
      <c r="S45" s="42" t="s">
        <v>139</v>
      </c>
      <c r="T45" s="43"/>
      <c r="U45" s="43"/>
    </row>
    <row r="46" spans="1:21" ht="31.2">
      <c r="A46" s="42" t="s">
        <v>772</v>
      </c>
      <c r="B46" s="42" t="s">
        <v>131</v>
      </c>
      <c r="C46" s="42" t="s">
        <v>181</v>
      </c>
      <c r="D46" s="42" t="s">
        <v>782</v>
      </c>
      <c r="E46" s="42" t="s">
        <v>772</v>
      </c>
      <c r="F46" s="42">
        <v>2005</v>
      </c>
      <c r="G46" s="42"/>
      <c r="H46" s="42" t="s">
        <v>137</v>
      </c>
      <c r="I46" s="42" t="s">
        <v>137</v>
      </c>
      <c r="J46" s="42">
        <v>2014</v>
      </c>
      <c r="K46" s="117">
        <v>14350</v>
      </c>
      <c r="L46" s="118">
        <v>0.125</v>
      </c>
      <c r="M46" s="119">
        <f t="shared" si="0"/>
        <v>49.657284420294964</v>
      </c>
      <c r="N46" s="269">
        <f t="shared" si="1"/>
        <v>13356.854311594101</v>
      </c>
      <c r="O46" s="270">
        <f t="shared" si="2"/>
        <v>993.14568840589925</v>
      </c>
      <c r="P46" s="42"/>
      <c r="Q46" s="42"/>
      <c r="R46" s="42" t="s">
        <v>318</v>
      </c>
      <c r="S46" s="42" t="s">
        <v>139</v>
      </c>
      <c r="T46" s="43"/>
      <c r="U46" s="43"/>
    </row>
    <row r="47" spans="1:21" ht="31.2">
      <c r="A47" s="42" t="s">
        <v>772</v>
      </c>
      <c r="B47" s="42" t="s">
        <v>131</v>
      </c>
      <c r="C47" s="42" t="s">
        <v>181</v>
      </c>
      <c r="D47" s="42" t="s">
        <v>783</v>
      </c>
      <c r="E47" s="42" t="s">
        <v>772</v>
      </c>
      <c r="F47" s="42">
        <v>2005</v>
      </c>
      <c r="G47" s="42"/>
      <c r="H47" s="42" t="s">
        <v>137</v>
      </c>
      <c r="I47" s="42" t="s">
        <v>137</v>
      </c>
      <c r="J47" s="42">
        <v>2014</v>
      </c>
      <c r="K47" s="117">
        <v>14350</v>
      </c>
      <c r="L47" s="118">
        <v>0.125</v>
      </c>
      <c r="M47" s="119">
        <f t="shared" si="0"/>
        <v>49.657284420294964</v>
      </c>
      <c r="N47" s="269">
        <f t="shared" si="1"/>
        <v>13356.854311594101</v>
      </c>
      <c r="O47" s="270">
        <f t="shared" si="2"/>
        <v>993.14568840589925</v>
      </c>
      <c r="P47" s="42"/>
      <c r="Q47" s="42"/>
      <c r="R47" s="42" t="s">
        <v>196</v>
      </c>
      <c r="S47" s="42" t="s">
        <v>139</v>
      </c>
      <c r="T47" s="43"/>
      <c r="U47" s="43"/>
    </row>
    <row r="48" spans="1:21" ht="31.2">
      <c r="A48" s="42" t="s">
        <v>784</v>
      </c>
      <c r="B48" s="42" t="s">
        <v>131</v>
      </c>
      <c r="C48" s="42" t="s">
        <v>181</v>
      </c>
      <c r="D48" s="42" t="s">
        <v>785</v>
      </c>
      <c r="E48" s="42" t="s">
        <v>735</v>
      </c>
      <c r="F48" s="42">
        <v>2005</v>
      </c>
      <c r="G48" s="42"/>
      <c r="H48" s="42" t="s">
        <v>137</v>
      </c>
      <c r="I48" s="42" t="s">
        <v>137</v>
      </c>
      <c r="J48" s="42">
        <v>2014</v>
      </c>
      <c r="K48" s="117">
        <v>9100</v>
      </c>
      <c r="L48" s="118">
        <v>0.125</v>
      </c>
      <c r="M48" s="119">
        <f t="shared" si="0"/>
        <v>31.489985242138271</v>
      </c>
      <c r="N48" s="269">
        <f t="shared" si="1"/>
        <v>8470.200295157234</v>
      </c>
      <c r="O48" s="270">
        <f t="shared" si="2"/>
        <v>629.79970484276544</v>
      </c>
      <c r="P48" s="42"/>
      <c r="Q48" s="42"/>
      <c r="R48" s="42" t="s">
        <v>751</v>
      </c>
      <c r="S48" s="42" t="s">
        <v>139</v>
      </c>
      <c r="T48" s="43"/>
      <c r="U48" s="43"/>
    </row>
    <row r="49" spans="1:21" ht="31.2">
      <c r="A49" s="42" t="s">
        <v>784</v>
      </c>
      <c r="B49" s="42" t="s">
        <v>131</v>
      </c>
      <c r="C49" s="42" t="s">
        <v>181</v>
      </c>
      <c r="D49" s="42" t="s">
        <v>786</v>
      </c>
      <c r="E49" s="42" t="s">
        <v>735</v>
      </c>
      <c r="F49" s="42">
        <v>2005</v>
      </c>
      <c r="G49" s="42"/>
      <c r="H49" s="42" t="s">
        <v>137</v>
      </c>
      <c r="I49" s="42" t="s">
        <v>137</v>
      </c>
      <c r="J49" s="42">
        <v>2014</v>
      </c>
      <c r="K49" s="117">
        <v>9100</v>
      </c>
      <c r="L49" s="118">
        <v>0.125</v>
      </c>
      <c r="M49" s="119">
        <f t="shared" si="0"/>
        <v>31.489985242138271</v>
      </c>
      <c r="N49" s="269">
        <f t="shared" si="1"/>
        <v>8470.200295157234</v>
      </c>
      <c r="O49" s="270">
        <f t="shared" si="2"/>
        <v>629.79970484276544</v>
      </c>
      <c r="P49" s="42"/>
      <c r="Q49" s="42"/>
      <c r="R49" s="42" t="s">
        <v>787</v>
      </c>
      <c r="S49" s="42" t="s">
        <v>139</v>
      </c>
      <c r="T49" s="43"/>
      <c r="U49" s="43"/>
    </row>
    <row r="50" spans="1:21" ht="31.2">
      <c r="A50" s="42" t="s">
        <v>784</v>
      </c>
      <c r="B50" s="42" t="s">
        <v>131</v>
      </c>
      <c r="C50" s="42" t="s">
        <v>181</v>
      </c>
      <c r="D50" s="42" t="s">
        <v>788</v>
      </c>
      <c r="E50" s="42" t="s">
        <v>735</v>
      </c>
      <c r="F50" s="42">
        <v>2005</v>
      </c>
      <c r="G50" s="42"/>
      <c r="H50" s="42" t="s">
        <v>137</v>
      </c>
      <c r="I50" s="42" t="s">
        <v>137</v>
      </c>
      <c r="J50" s="42">
        <v>2014</v>
      </c>
      <c r="K50" s="117">
        <v>9100</v>
      </c>
      <c r="L50" s="118">
        <v>0.125</v>
      </c>
      <c r="M50" s="119">
        <f t="shared" si="0"/>
        <v>31.489985242138271</v>
      </c>
      <c r="N50" s="269">
        <f t="shared" si="1"/>
        <v>8470.200295157234</v>
      </c>
      <c r="O50" s="270">
        <f t="shared" si="2"/>
        <v>629.79970484276544</v>
      </c>
      <c r="P50" s="42"/>
      <c r="Q50" s="42"/>
      <c r="R50" s="42" t="s">
        <v>755</v>
      </c>
      <c r="S50" s="42" t="s">
        <v>139</v>
      </c>
      <c r="T50" s="43"/>
      <c r="U50" s="43"/>
    </row>
    <row r="51" spans="1:21" ht="31.2">
      <c r="A51" s="42" t="s">
        <v>784</v>
      </c>
      <c r="B51" s="42" t="s">
        <v>131</v>
      </c>
      <c r="C51" s="42" t="s">
        <v>181</v>
      </c>
      <c r="D51" s="42" t="s">
        <v>789</v>
      </c>
      <c r="E51" s="42" t="s">
        <v>735</v>
      </c>
      <c r="F51" s="42">
        <v>2005</v>
      </c>
      <c r="G51" s="42"/>
      <c r="H51" s="42" t="s">
        <v>137</v>
      </c>
      <c r="I51" s="42" t="s">
        <v>137</v>
      </c>
      <c r="J51" s="42">
        <v>2014</v>
      </c>
      <c r="K51" s="117">
        <v>9100</v>
      </c>
      <c r="L51" s="118">
        <v>0.125</v>
      </c>
      <c r="M51" s="119">
        <f t="shared" si="0"/>
        <v>31.489985242138271</v>
      </c>
      <c r="N51" s="269">
        <f t="shared" si="1"/>
        <v>8470.200295157234</v>
      </c>
      <c r="O51" s="270">
        <f t="shared" si="2"/>
        <v>629.79970484276544</v>
      </c>
      <c r="P51" s="42"/>
      <c r="Q51" s="42"/>
      <c r="R51" s="42" t="s">
        <v>469</v>
      </c>
      <c r="S51" s="42" t="s">
        <v>139</v>
      </c>
      <c r="T51" s="43"/>
      <c r="U51" s="43"/>
    </row>
    <row r="52" spans="1:21" ht="31.2">
      <c r="A52" s="42" t="s">
        <v>790</v>
      </c>
      <c r="B52" s="42" t="s">
        <v>131</v>
      </c>
      <c r="C52" s="42" t="s">
        <v>181</v>
      </c>
      <c r="D52" s="42" t="s">
        <v>791</v>
      </c>
      <c r="E52" s="42" t="s">
        <v>792</v>
      </c>
      <c r="F52" s="42">
        <v>2005</v>
      </c>
      <c r="G52" s="42"/>
      <c r="H52" s="42" t="s">
        <v>137</v>
      </c>
      <c r="I52" s="42" t="s">
        <v>137</v>
      </c>
      <c r="J52" s="42">
        <v>2014</v>
      </c>
      <c r="K52" s="117">
        <v>6790</v>
      </c>
      <c r="L52" s="118">
        <v>0.125</v>
      </c>
      <c r="M52" s="119">
        <f t="shared" si="0"/>
        <v>23.496373603749326</v>
      </c>
      <c r="N52" s="269">
        <f t="shared" si="1"/>
        <v>6320.0725279250137</v>
      </c>
      <c r="O52" s="270">
        <f t="shared" si="2"/>
        <v>469.9274720749865</v>
      </c>
      <c r="P52" s="42"/>
      <c r="Q52" s="42"/>
      <c r="R52" s="42" t="s">
        <v>196</v>
      </c>
      <c r="S52" s="42" t="s">
        <v>139</v>
      </c>
      <c r="T52" s="43"/>
      <c r="U52" s="43"/>
    </row>
    <row r="53" spans="1:21" ht="31.2">
      <c r="A53" s="42" t="s">
        <v>790</v>
      </c>
      <c r="B53" s="42" t="s">
        <v>131</v>
      </c>
      <c r="C53" s="42" t="s">
        <v>181</v>
      </c>
      <c r="D53" s="42" t="s">
        <v>793</v>
      </c>
      <c r="E53" s="42" t="s">
        <v>792</v>
      </c>
      <c r="F53" s="42">
        <v>2005</v>
      </c>
      <c r="G53" s="42"/>
      <c r="H53" s="42" t="s">
        <v>137</v>
      </c>
      <c r="I53" s="42" t="s">
        <v>137</v>
      </c>
      <c r="J53" s="42">
        <v>2014</v>
      </c>
      <c r="K53" s="117">
        <v>6790</v>
      </c>
      <c r="L53" s="118">
        <v>0.125</v>
      </c>
      <c r="M53" s="119">
        <f t="shared" si="0"/>
        <v>23.496373603749326</v>
      </c>
      <c r="N53" s="269">
        <f t="shared" si="1"/>
        <v>6320.0725279250137</v>
      </c>
      <c r="O53" s="270">
        <f t="shared" si="2"/>
        <v>469.9274720749865</v>
      </c>
      <c r="P53" s="42"/>
      <c r="Q53" s="42"/>
      <c r="R53" s="42" t="s">
        <v>794</v>
      </c>
      <c r="S53" s="42" t="s">
        <v>139</v>
      </c>
      <c r="T53" s="43"/>
      <c r="U53" s="43"/>
    </row>
    <row r="54" spans="1:21" ht="31.2">
      <c r="A54" s="42" t="s">
        <v>790</v>
      </c>
      <c r="B54" s="42" t="s">
        <v>131</v>
      </c>
      <c r="C54" s="42" t="s">
        <v>181</v>
      </c>
      <c r="D54" s="42" t="s">
        <v>795</v>
      </c>
      <c r="E54" s="42" t="s">
        <v>792</v>
      </c>
      <c r="F54" s="42">
        <v>2005</v>
      </c>
      <c r="G54" s="42"/>
      <c r="H54" s="42" t="s">
        <v>137</v>
      </c>
      <c r="I54" s="42" t="s">
        <v>137</v>
      </c>
      <c r="J54" s="42">
        <v>2014</v>
      </c>
      <c r="K54" s="117">
        <v>6790</v>
      </c>
      <c r="L54" s="118">
        <v>0.125</v>
      </c>
      <c r="M54" s="119">
        <f t="shared" si="0"/>
        <v>23.496373603749326</v>
      </c>
      <c r="N54" s="269">
        <f t="shared" si="1"/>
        <v>6320.0725279250137</v>
      </c>
      <c r="O54" s="270">
        <f t="shared" si="2"/>
        <v>469.9274720749865</v>
      </c>
      <c r="P54" s="42"/>
      <c r="Q54" s="42"/>
      <c r="R54" s="42" t="s">
        <v>231</v>
      </c>
      <c r="S54" s="42" t="s">
        <v>139</v>
      </c>
      <c r="T54" s="43"/>
      <c r="U54" s="43"/>
    </row>
    <row r="55" spans="1:21" ht="31.2">
      <c r="A55" s="42" t="s">
        <v>790</v>
      </c>
      <c r="B55" s="42" t="s">
        <v>131</v>
      </c>
      <c r="C55" s="42" t="s">
        <v>181</v>
      </c>
      <c r="D55" s="42" t="s">
        <v>796</v>
      </c>
      <c r="E55" s="42" t="s">
        <v>792</v>
      </c>
      <c r="F55" s="42">
        <v>2005</v>
      </c>
      <c r="G55" s="42"/>
      <c r="H55" s="42" t="s">
        <v>137</v>
      </c>
      <c r="I55" s="42" t="s">
        <v>137</v>
      </c>
      <c r="J55" s="42">
        <v>2014</v>
      </c>
      <c r="K55" s="117">
        <v>6790</v>
      </c>
      <c r="L55" s="118">
        <v>0.125</v>
      </c>
      <c r="M55" s="119">
        <f t="shared" si="0"/>
        <v>23.496373603749326</v>
      </c>
      <c r="N55" s="269">
        <f t="shared" si="1"/>
        <v>6320.0725279250137</v>
      </c>
      <c r="O55" s="270">
        <f t="shared" si="2"/>
        <v>469.9274720749865</v>
      </c>
      <c r="P55" s="42"/>
      <c r="Q55" s="42"/>
      <c r="R55" s="42" t="s">
        <v>797</v>
      </c>
      <c r="S55" s="42" t="s">
        <v>139</v>
      </c>
      <c r="T55" s="43"/>
      <c r="U55" s="43"/>
    </row>
    <row r="56" spans="1:21" ht="31.2">
      <c r="A56" s="42" t="s">
        <v>790</v>
      </c>
      <c r="B56" s="42" t="s">
        <v>131</v>
      </c>
      <c r="C56" s="42" t="s">
        <v>181</v>
      </c>
      <c r="D56" s="42" t="s">
        <v>798</v>
      </c>
      <c r="E56" s="42" t="s">
        <v>792</v>
      </c>
      <c r="F56" s="42">
        <v>2005</v>
      </c>
      <c r="G56" s="42"/>
      <c r="H56" s="42" t="s">
        <v>137</v>
      </c>
      <c r="I56" s="42" t="s">
        <v>137</v>
      </c>
      <c r="J56" s="42">
        <v>2014</v>
      </c>
      <c r="K56" s="117">
        <v>6790</v>
      </c>
      <c r="L56" s="118">
        <v>0.125</v>
      </c>
      <c r="M56" s="119">
        <f t="shared" si="0"/>
        <v>23.496373603749326</v>
      </c>
      <c r="N56" s="269">
        <f t="shared" si="1"/>
        <v>6320.0725279250137</v>
      </c>
      <c r="O56" s="270">
        <f t="shared" si="2"/>
        <v>469.9274720749865</v>
      </c>
      <c r="P56" s="42"/>
      <c r="Q56" s="42"/>
      <c r="R56" s="42" t="s">
        <v>799</v>
      </c>
      <c r="S56" s="42" t="s">
        <v>139</v>
      </c>
      <c r="T56" s="43"/>
      <c r="U56" s="43"/>
    </row>
    <row r="57" spans="1:21" ht="31.2">
      <c r="A57" s="42" t="s">
        <v>790</v>
      </c>
      <c r="B57" s="42" t="s">
        <v>131</v>
      </c>
      <c r="C57" s="42" t="s">
        <v>181</v>
      </c>
      <c r="D57" s="42" t="s">
        <v>800</v>
      </c>
      <c r="E57" s="42" t="s">
        <v>792</v>
      </c>
      <c r="F57" s="42">
        <v>2005</v>
      </c>
      <c r="G57" s="42"/>
      <c r="H57" s="42" t="s">
        <v>137</v>
      </c>
      <c r="I57" s="42" t="s">
        <v>137</v>
      </c>
      <c r="J57" s="42">
        <v>2014</v>
      </c>
      <c r="K57" s="117">
        <v>6790</v>
      </c>
      <c r="L57" s="118">
        <v>0.125</v>
      </c>
      <c r="M57" s="119">
        <f t="shared" si="0"/>
        <v>23.496373603749326</v>
      </c>
      <c r="N57" s="269">
        <f t="shared" si="1"/>
        <v>6320.0725279250137</v>
      </c>
      <c r="O57" s="270">
        <f t="shared" si="2"/>
        <v>469.9274720749865</v>
      </c>
      <c r="P57" s="42"/>
      <c r="Q57" s="42"/>
      <c r="R57" s="42" t="s">
        <v>799</v>
      </c>
      <c r="S57" s="42" t="s">
        <v>139</v>
      </c>
      <c r="T57" s="43"/>
      <c r="U57" s="43"/>
    </row>
    <row r="58" spans="1:21" ht="31.2">
      <c r="A58" s="42" t="s">
        <v>790</v>
      </c>
      <c r="B58" s="42" t="s">
        <v>131</v>
      </c>
      <c r="C58" s="42" t="s">
        <v>181</v>
      </c>
      <c r="D58" s="42" t="s">
        <v>801</v>
      </c>
      <c r="E58" s="42" t="s">
        <v>792</v>
      </c>
      <c r="F58" s="42">
        <v>2005</v>
      </c>
      <c r="G58" s="42"/>
      <c r="H58" s="42" t="s">
        <v>137</v>
      </c>
      <c r="I58" s="42" t="s">
        <v>137</v>
      </c>
      <c r="J58" s="42">
        <v>2014</v>
      </c>
      <c r="K58" s="117">
        <v>6790</v>
      </c>
      <c r="L58" s="118">
        <v>0.125</v>
      </c>
      <c r="M58" s="119">
        <f t="shared" si="0"/>
        <v>23.496373603749326</v>
      </c>
      <c r="N58" s="269">
        <f t="shared" si="1"/>
        <v>6320.0725279250137</v>
      </c>
      <c r="O58" s="270">
        <f t="shared" si="2"/>
        <v>469.9274720749865</v>
      </c>
      <c r="P58" s="42"/>
      <c r="Q58" s="42"/>
      <c r="R58" s="42" t="s">
        <v>223</v>
      </c>
      <c r="S58" s="42" t="s">
        <v>139</v>
      </c>
      <c r="T58" s="43"/>
      <c r="U58" s="43"/>
    </row>
    <row r="59" spans="1:21" ht="31.2">
      <c r="A59" s="42" t="s">
        <v>790</v>
      </c>
      <c r="B59" s="42" t="s">
        <v>131</v>
      </c>
      <c r="C59" s="42" t="s">
        <v>181</v>
      </c>
      <c r="D59" s="42" t="s">
        <v>802</v>
      </c>
      <c r="E59" s="42" t="s">
        <v>792</v>
      </c>
      <c r="F59" s="42">
        <v>2005</v>
      </c>
      <c r="G59" s="42"/>
      <c r="H59" s="42" t="s">
        <v>137</v>
      </c>
      <c r="I59" s="42" t="s">
        <v>137</v>
      </c>
      <c r="J59" s="42">
        <v>2014</v>
      </c>
      <c r="K59" s="117">
        <v>6790</v>
      </c>
      <c r="L59" s="118">
        <v>0.125</v>
      </c>
      <c r="M59" s="119">
        <f t="shared" si="0"/>
        <v>23.496373603749326</v>
      </c>
      <c r="N59" s="269">
        <f t="shared" si="1"/>
        <v>6320.0725279250137</v>
      </c>
      <c r="O59" s="270">
        <f t="shared" si="2"/>
        <v>469.9274720749865</v>
      </c>
      <c r="P59" s="42"/>
      <c r="Q59" s="42"/>
      <c r="R59" s="42" t="s">
        <v>318</v>
      </c>
      <c r="S59" s="42" t="s">
        <v>139</v>
      </c>
      <c r="T59" s="43"/>
      <c r="U59" s="43"/>
    </row>
    <row r="60" spans="1:21" ht="31.2">
      <c r="A60" s="42" t="s">
        <v>790</v>
      </c>
      <c r="B60" s="42" t="s">
        <v>131</v>
      </c>
      <c r="C60" s="42" t="s">
        <v>181</v>
      </c>
      <c r="D60" s="42" t="s">
        <v>803</v>
      </c>
      <c r="E60" s="42" t="s">
        <v>792</v>
      </c>
      <c r="F60" s="42">
        <v>2005</v>
      </c>
      <c r="G60" s="42"/>
      <c r="H60" s="42" t="s">
        <v>137</v>
      </c>
      <c r="I60" s="42" t="s">
        <v>137</v>
      </c>
      <c r="J60" s="42">
        <v>2014</v>
      </c>
      <c r="K60" s="117">
        <v>6790</v>
      </c>
      <c r="L60" s="118">
        <v>0.125</v>
      </c>
      <c r="M60" s="119">
        <f t="shared" si="0"/>
        <v>23.496373603749326</v>
      </c>
      <c r="N60" s="269">
        <f t="shared" si="1"/>
        <v>6320.0725279250137</v>
      </c>
      <c r="O60" s="270">
        <f t="shared" si="2"/>
        <v>469.9274720749865</v>
      </c>
      <c r="P60" s="42"/>
      <c r="Q60" s="42"/>
      <c r="R60" s="42" t="s">
        <v>482</v>
      </c>
      <c r="S60" s="42" t="s">
        <v>139</v>
      </c>
      <c r="T60" s="43"/>
      <c r="U60" s="43"/>
    </row>
    <row r="61" spans="1:21" ht="31.2">
      <c r="A61" s="42" t="s">
        <v>790</v>
      </c>
      <c r="B61" s="42" t="s">
        <v>131</v>
      </c>
      <c r="C61" s="42" t="s">
        <v>181</v>
      </c>
      <c r="D61" s="42" t="s">
        <v>804</v>
      </c>
      <c r="E61" s="42" t="s">
        <v>792</v>
      </c>
      <c r="F61" s="42">
        <v>2005</v>
      </c>
      <c r="G61" s="42"/>
      <c r="H61" s="42" t="s">
        <v>137</v>
      </c>
      <c r="I61" s="42" t="s">
        <v>137</v>
      </c>
      <c r="J61" s="42">
        <v>2014</v>
      </c>
      <c r="K61" s="117">
        <v>6790</v>
      </c>
      <c r="L61" s="118">
        <v>0.125</v>
      </c>
      <c r="M61" s="119">
        <f t="shared" si="0"/>
        <v>23.496373603749326</v>
      </c>
      <c r="N61" s="269">
        <f t="shared" si="1"/>
        <v>6320.0725279250137</v>
      </c>
      <c r="O61" s="270">
        <f t="shared" si="2"/>
        <v>469.9274720749865</v>
      </c>
      <c r="P61" s="42"/>
      <c r="Q61" s="42"/>
      <c r="R61" s="42" t="s">
        <v>416</v>
      </c>
      <c r="S61" s="42" t="s">
        <v>139</v>
      </c>
      <c r="T61" s="43"/>
      <c r="U61" s="43"/>
    </row>
    <row r="62" spans="1:21" ht="31.2">
      <c r="A62" s="42" t="s">
        <v>790</v>
      </c>
      <c r="B62" s="42" t="s">
        <v>131</v>
      </c>
      <c r="C62" s="42" t="s">
        <v>181</v>
      </c>
      <c r="D62" s="42" t="s">
        <v>805</v>
      </c>
      <c r="E62" s="42" t="s">
        <v>806</v>
      </c>
      <c r="F62" s="42">
        <v>2005</v>
      </c>
      <c r="G62" s="42"/>
      <c r="H62" s="42" t="s">
        <v>137</v>
      </c>
      <c r="I62" s="42" t="s">
        <v>137</v>
      </c>
      <c r="J62" s="42">
        <v>2014</v>
      </c>
      <c r="K62" s="117">
        <v>6580</v>
      </c>
      <c r="L62" s="118">
        <v>0.125</v>
      </c>
      <c r="M62" s="119">
        <f t="shared" si="0"/>
        <v>22.769681636623055</v>
      </c>
      <c r="N62" s="269">
        <f t="shared" si="1"/>
        <v>6124.6063672675391</v>
      </c>
      <c r="O62" s="270">
        <f t="shared" si="2"/>
        <v>455.39363273246113</v>
      </c>
      <c r="P62" s="42"/>
      <c r="Q62" s="42"/>
      <c r="R62" s="42" t="s">
        <v>235</v>
      </c>
      <c r="S62" s="42" t="s">
        <v>139</v>
      </c>
      <c r="T62" s="43"/>
      <c r="U62" s="43"/>
    </row>
    <row r="63" spans="1:21" ht="31.2">
      <c r="A63" s="42" t="s">
        <v>790</v>
      </c>
      <c r="B63" s="42" t="s">
        <v>131</v>
      </c>
      <c r="C63" s="42" t="s">
        <v>181</v>
      </c>
      <c r="D63" s="42" t="s">
        <v>807</v>
      </c>
      <c r="E63" s="42" t="s">
        <v>806</v>
      </c>
      <c r="F63" s="42">
        <v>2005</v>
      </c>
      <c r="G63" s="42"/>
      <c r="H63" s="42" t="s">
        <v>137</v>
      </c>
      <c r="I63" s="42" t="s">
        <v>137</v>
      </c>
      <c r="J63" s="42">
        <v>2014</v>
      </c>
      <c r="K63" s="117">
        <v>6580</v>
      </c>
      <c r="L63" s="118">
        <v>0.125</v>
      </c>
      <c r="M63" s="119">
        <f t="shared" si="0"/>
        <v>22.769681636623055</v>
      </c>
      <c r="N63" s="269">
        <f t="shared" si="1"/>
        <v>6124.6063672675391</v>
      </c>
      <c r="O63" s="270">
        <f t="shared" si="2"/>
        <v>455.39363273246113</v>
      </c>
      <c r="P63" s="42"/>
      <c r="Q63" s="42"/>
      <c r="R63" s="42" t="s">
        <v>402</v>
      </c>
      <c r="S63" s="42" t="s">
        <v>139</v>
      </c>
      <c r="T63" s="43"/>
      <c r="U63" s="43"/>
    </row>
    <row r="64" spans="1:21" ht="31.2">
      <c r="A64" s="42" t="s">
        <v>790</v>
      </c>
      <c r="B64" s="42" t="s">
        <v>131</v>
      </c>
      <c r="C64" s="42" t="s">
        <v>181</v>
      </c>
      <c r="D64" s="42" t="s">
        <v>808</v>
      </c>
      <c r="E64" s="42" t="s">
        <v>806</v>
      </c>
      <c r="F64" s="42">
        <v>2005</v>
      </c>
      <c r="G64" s="42"/>
      <c r="H64" s="42" t="s">
        <v>137</v>
      </c>
      <c r="I64" s="42" t="s">
        <v>137</v>
      </c>
      <c r="J64" s="42">
        <v>2014</v>
      </c>
      <c r="K64" s="117">
        <v>6580</v>
      </c>
      <c r="L64" s="118">
        <v>0.125</v>
      </c>
      <c r="M64" s="119">
        <f t="shared" si="0"/>
        <v>22.769681636623055</v>
      </c>
      <c r="N64" s="269">
        <f t="shared" si="1"/>
        <v>6124.6063672675391</v>
      </c>
      <c r="O64" s="270">
        <f t="shared" si="2"/>
        <v>455.39363273246113</v>
      </c>
      <c r="P64" s="42"/>
      <c r="Q64" s="42"/>
      <c r="R64" s="42" t="s">
        <v>732</v>
      </c>
      <c r="S64" s="42" t="s">
        <v>139</v>
      </c>
      <c r="T64" s="43"/>
      <c r="U64" s="43"/>
    </row>
    <row r="65" spans="1:21" ht="31.2">
      <c r="A65" s="42" t="s">
        <v>790</v>
      </c>
      <c r="B65" s="42" t="s">
        <v>131</v>
      </c>
      <c r="C65" s="42" t="s">
        <v>181</v>
      </c>
      <c r="D65" s="42" t="s">
        <v>809</v>
      </c>
      <c r="E65" s="42" t="s">
        <v>806</v>
      </c>
      <c r="F65" s="42">
        <v>2005</v>
      </c>
      <c r="G65" s="42"/>
      <c r="H65" s="42" t="s">
        <v>137</v>
      </c>
      <c r="I65" s="42" t="s">
        <v>137</v>
      </c>
      <c r="J65" s="42">
        <v>2014</v>
      </c>
      <c r="K65" s="117">
        <v>6580</v>
      </c>
      <c r="L65" s="118">
        <v>0.125</v>
      </c>
      <c r="M65" s="119">
        <f t="shared" si="0"/>
        <v>22.769681636623055</v>
      </c>
      <c r="N65" s="269">
        <f t="shared" si="1"/>
        <v>6124.6063672675391</v>
      </c>
      <c r="O65" s="270">
        <f t="shared" si="2"/>
        <v>455.39363273246113</v>
      </c>
      <c r="P65" s="42"/>
      <c r="Q65" s="42"/>
      <c r="R65" s="42" t="s">
        <v>810</v>
      </c>
      <c r="S65" s="42" t="s">
        <v>139</v>
      </c>
      <c r="T65" s="43"/>
      <c r="U65" s="43"/>
    </row>
    <row r="66" spans="1:21" ht="31.2">
      <c r="A66" s="42" t="s">
        <v>790</v>
      </c>
      <c r="B66" s="42" t="s">
        <v>131</v>
      </c>
      <c r="C66" s="42" t="s">
        <v>181</v>
      </c>
      <c r="D66" s="42" t="s">
        <v>811</v>
      </c>
      <c r="E66" s="42" t="s">
        <v>806</v>
      </c>
      <c r="F66" s="42">
        <v>2005</v>
      </c>
      <c r="G66" s="42"/>
      <c r="H66" s="42" t="s">
        <v>137</v>
      </c>
      <c r="I66" s="42" t="s">
        <v>137</v>
      </c>
      <c r="J66" s="42">
        <v>2014</v>
      </c>
      <c r="K66" s="117">
        <v>6580</v>
      </c>
      <c r="L66" s="118">
        <v>0.125</v>
      </c>
      <c r="M66" s="119">
        <f t="shared" si="0"/>
        <v>22.769681636623055</v>
      </c>
      <c r="N66" s="269">
        <f t="shared" si="1"/>
        <v>6124.6063672675391</v>
      </c>
      <c r="O66" s="270">
        <f t="shared" si="2"/>
        <v>455.39363273246113</v>
      </c>
      <c r="P66" s="42"/>
      <c r="Q66" s="42"/>
      <c r="R66" s="42" t="s">
        <v>812</v>
      </c>
      <c r="S66" s="42" t="s">
        <v>139</v>
      </c>
      <c r="T66" s="43"/>
      <c r="U66" s="43"/>
    </row>
    <row r="67" spans="1:21" ht="31.2">
      <c r="A67" s="42" t="s">
        <v>790</v>
      </c>
      <c r="B67" s="42" t="s">
        <v>131</v>
      </c>
      <c r="C67" s="42" t="s">
        <v>181</v>
      </c>
      <c r="D67" s="42" t="s">
        <v>813</v>
      </c>
      <c r="E67" s="42" t="s">
        <v>806</v>
      </c>
      <c r="F67" s="42">
        <v>2005</v>
      </c>
      <c r="G67" s="42"/>
      <c r="H67" s="42" t="s">
        <v>137</v>
      </c>
      <c r="I67" s="42" t="s">
        <v>137</v>
      </c>
      <c r="J67" s="42">
        <v>2014</v>
      </c>
      <c r="K67" s="117">
        <v>6580</v>
      </c>
      <c r="L67" s="118">
        <v>0.125</v>
      </c>
      <c r="M67" s="119">
        <f t="shared" ref="M67:M121" si="3">O67/(2025-F67)</f>
        <v>22.769681636623055</v>
      </c>
      <c r="N67" s="269">
        <f t="shared" ref="N67:N130" si="4">K67-O67</f>
        <v>6124.6063672675391</v>
      </c>
      <c r="O67" s="270">
        <f t="shared" ref="O67:O130" si="5">K67*(1-L67)^(2025-F67)</f>
        <v>455.39363273246113</v>
      </c>
      <c r="P67" s="42"/>
      <c r="Q67" s="42"/>
      <c r="R67" s="42" t="s">
        <v>405</v>
      </c>
      <c r="S67" s="42" t="s">
        <v>139</v>
      </c>
      <c r="T67" s="43"/>
      <c r="U67" s="43"/>
    </row>
    <row r="68" spans="1:21" ht="31.2">
      <c r="A68" s="42" t="s">
        <v>790</v>
      </c>
      <c r="B68" s="42" t="s">
        <v>131</v>
      </c>
      <c r="C68" s="42" t="s">
        <v>181</v>
      </c>
      <c r="D68" s="42" t="s">
        <v>814</v>
      </c>
      <c r="E68" s="42" t="s">
        <v>806</v>
      </c>
      <c r="F68" s="42">
        <v>2005</v>
      </c>
      <c r="G68" s="42"/>
      <c r="H68" s="42" t="s">
        <v>137</v>
      </c>
      <c r="I68" s="42" t="s">
        <v>137</v>
      </c>
      <c r="J68" s="42">
        <v>2014</v>
      </c>
      <c r="K68" s="117">
        <v>6580</v>
      </c>
      <c r="L68" s="118">
        <v>0.125</v>
      </c>
      <c r="M68" s="119">
        <f t="shared" si="3"/>
        <v>22.769681636623055</v>
      </c>
      <c r="N68" s="269">
        <f t="shared" si="4"/>
        <v>6124.6063672675391</v>
      </c>
      <c r="O68" s="270">
        <f t="shared" si="5"/>
        <v>455.39363273246113</v>
      </c>
      <c r="P68" s="42"/>
      <c r="Q68" s="42"/>
      <c r="R68" s="42" t="s">
        <v>815</v>
      </c>
      <c r="S68" s="42" t="s">
        <v>139</v>
      </c>
      <c r="T68" s="43"/>
      <c r="U68" s="43"/>
    </row>
    <row r="69" spans="1:21" ht="31.2">
      <c r="A69" s="42" t="s">
        <v>790</v>
      </c>
      <c r="B69" s="42" t="s">
        <v>131</v>
      </c>
      <c r="C69" s="42" t="s">
        <v>181</v>
      </c>
      <c r="D69" s="42" t="s">
        <v>816</v>
      </c>
      <c r="E69" s="42" t="s">
        <v>806</v>
      </c>
      <c r="F69" s="42">
        <v>2005</v>
      </c>
      <c r="G69" s="42"/>
      <c r="H69" s="42" t="s">
        <v>137</v>
      </c>
      <c r="I69" s="42" t="s">
        <v>137</v>
      </c>
      <c r="J69" s="42">
        <v>2014</v>
      </c>
      <c r="K69" s="117">
        <v>6580</v>
      </c>
      <c r="L69" s="118">
        <v>0.125</v>
      </c>
      <c r="M69" s="119">
        <f t="shared" si="3"/>
        <v>22.769681636623055</v>
      </c>
      <c r="N69" s="269">
        <f t="shared" si="4"/>
        <v>6124.6063672675391</v>
      </c>
      <c r="O69" s="270">
        <f t="shared" si="5"/>
        <v>455.39363273246113</v>
      </c>
      <c r="P69" s="42"/>
      <c r="Q69" s="42"/>
      <c r="R69" s="42" t="s">
        <v>199</v>
      </c>
      <c r="S69" s="42" t="s">
        <v>139</v>
      </c>
      <c r="T69" s="43"/>
      <c r="U69" s="43"/>
    </row>
    <row r="70" spans="1:21" ht="31.2">
      <c r="A70" s="42" t="s">
        <v>817</v>
      </c>
      <c r="B70" s="42" t="s">
        <v>131</v>
      </c>
      <c r="C70" s="42" t="s">
        <v>181</v>
      </c>
      <c r="D70" s="42" t="s">
        <v>818</v>
      </c>
      <c r="E70" s="42" t="s">
        <v>817</v>
      </c>
      <c r="F70" s="42">
        <v>2005</v>
      </c>
      <c r="G70" s="42"/>
      <c r="H70" s="42" t="s">
        <v>137</v>
      </c>
      <c r="I70" s="42" t="s">
        <v>137</v>
      </c>
      <c r="J70" s="42">
        <v>2014</v>
      </c>
      <c r="K70" s="117">
        <v>2100</v>
      </c>
      <c r="L70" s="118">
        <v>0.125</v>
      </c>
      <c r="M70" s="119">
        <f t="shared" si="3"/>
        <v>7.2669196712626771</v>
      </c>
      <c r="N70" s="269">
        <f t="shared" si="4"/>
        <v>1954.6616065747464</v>
      </c>
      <c r="O70" s="270">
        <f t="shared" si="5"/>
        <v>145.33839342525354</v>
      </c>
      <c r="P70" s="42"/>
      <c r="Q70" s="42"/>
      <c r="R70" s="42" t="s">
        <v>225</v>
      </c>
      <c r="S70" s="42" t="s">
        <v>139</v>
      </c>
      <c r="T70" s="43"/>
      <c r="U70" s="43"/>
    </row>
    <row r="71" spans="1:21" ht="31.2">
      <c r="A71" s="42" t="s">
        <v>817</v>
      </c>
      <c r="B71" s="42" t="s">
        <v>131</v>
      </c>
      <c r="C71" s="42" t="s">
        <v>181</v>
      </c>
      <c r="D71" s="42" t="s">
        <v>819</v>
      </c>
      <c r="E71" s="42" t="s">
        <v>817</v>
      </c>
      <c r="F71" s="42">
        <v>2005</v>
      </c>
      <c r="G71" s="42"/>
      <c r="H71" s="42" t="s">
        <v>137</v>
      </c>
      <c r="I71" s="42" t="s">
        <v>137</v>
      </c>
      <c r="J71" s="42">
        <v>2014</v>
      </c>
      <c r="K71" s="117">
        <v>2100</v>
      </c>
      <c r="L71" s="118">
        <v>0.125</v>
      </c>
      <c r="M71" s="119">
        <f t="shared" si="3"/>
        <v>7.2669196712626771</v>
      </c>
      <c r="N71" s="269">
        <f t="shared" si="4"/>
        <v>1954.6616065747464</v>
      </c>
      <c r="O71" s="270">
        <f t="shared" si="5"/>
        <v>145.33839342525354</v>
      </c>
      <c r="P71" s="42"/>
      <c r="Q71" s="42"/>
      <c r="R71" s="42" t="s">
        <v>797</v>
      </c>
      <c r="S71" s="42" t="s">
        <v>139</v>
      </c>
      <c r="T71" s="43"/>
      <c r="U71" s="43"/>
    </row>
    <row r="72" spans="1:21" ht="31.2">
      <c r="A72" s="42" t="s">
        <v>817</v>
      </c>
      <c r="B72" s="42" t="s">
        <v>131</v>
      </c>
      <c r="C72" s="42" t="s">
        <v>181</v>
      </c>
      <c r="D72" s="42" t="s">
        <v>820</v>
      </c>
      <c r="E72" s="42" t="s">
        <v>817</v>
      </c>
      <c r="F72" s="42">
        <v>2005</v>
      </c>
      <c r="G72" s="42"/>
      <c r="H72" s="42" t="s">
        <v>137</v>
      </c>
      <c r="I72" s="42" t="s">
        <v>137</v>
      </c>
      <c r="J72" s="42">
        <v>2014</v>
      </c>
      <c r="K72" s="117">
        <v>2100</v>
      </c>
      <c r="L72" s="118">
        <v>0.125</v>
      </c>
      <c r="M72" s="119">
        <f t="shared" si="3"/>
        <v>7.2669196712626771</v>
      </c>
      <c r="N72" s="269">
        <f t="shared" si="4"/>
        <v>1954.6616065747464</v>
      </c>
      <c r="O72" s="270">
        <f t="shared" si="5"/>
        <v>145.33839342525354</v>
      </c>
      <c r="P72" s="42"/>
      <c r="Q72" s="42"/>
      <c r="R72" s="42" t="s">
        <v>392</v>
      </c>
      <c r="S72" s="42" t="s">
        <v>139</v>
      </c>
      <c r="T72" s="43"/>
      <c r="U72" s="43"/>
    </row>
    <row r="73" spans="1:21" ht="31.2">
      <c r="A73" s="42" t="s">
        <v>817</v>
      </c>
      <c r="B73" s="42" t="s">
        <v>131</v>
      </c>
      <c r="C73" s="42" t="s">
        <v>181</v>
      </c>
      <c r="D73" s="42" t="s">
        <v>821</v>
      </c>
      <c r="E73" s="42" t="s">
        <v>817</v>
      </c>
      <c r="F73" s="42">
        <v>2005</v>
      </c>
      <c r="G73" s="42"/>
      <c r="H73" s="42" t="s">
        <v>137</v>
      </c>
      <c r="I73" s="42" t="s">
        <v>137</v>
      </c>
      <c r="J73" s="42">
        <v>2014</v>
      </c>
      <c r="K73" s="117">
        <v>2100</v>
      </c>
      <c r="L73" s="118">
        <v>0.125</v>
      </c>
      <c r="M73" s="119">
        <f t="shared" si="3"/>
        <v>7.2669196712626771</v>
      </c>
      <c r="N73" s="269">
        <f t="shared" si="4"/>
        <v>1954.6616065747464</v>
      </c>
      <c r="O73" s="270">
        <f t="shared" si="5"/>
        <v>145.33839342525354</v>
      </c>
      <c r="P73" s="42"/>
      <c r="Q73" s="42"/>
      <c r="R73" s="42" t="s">
        <v>797</v>
      </c>
      <c r="S73" s="42" t="s">
        <v>139</v>
      </c>
      <c r="T73" s="43"/>
      <c r="U73" s="43"/>
    </row>
    <row r="74" spans="1:21" ht="31.2">
      <c r="A74" s="42" t="s">
        <v>817</v>
      </c>
      <c r="B74" s="42" t="s">
        <v>131</v>
      </c>
      <c r="C74" s="42" t="s">
        <v>181</v>
      </c>
      <c r="D74" s="42" t="s">
        <v>822</v>
      </c>
      <c r="E74" s="42" t="s">
        <v>817</v>
      </c>
      <c r="F74" s="42">
        <v>2005</v>
      </c>
      <c r="G74" s="42"/>
      <c r="H74" s="42" t="s">
        <v>137</v>
      </c>
      <c r="I74" s="42" t="s">
        <v>137</v>
      </c>
      <c r="J74" s="42">
        <v>2014</v>
      </c>
      <c r="K74" s="117">
        <v>2100</v>
      </c>
      <c r="L74" s="118">
        <v>0.125</v>
      </c>
      <c r="M74" s="119">
        <f t="shared" si="3"/>
        <v>7.2669196712626771</v>
      </c>
      <c r="N74" s="269">
        <f t="shared" si="4"/>
        <v>1954.6616065747464</v>
      </c>
      <c r="O74" s="270">
        <f t="shared" si="5"/>
        <v>145.33839342525354</v>
      </c>
      <c r="P74" s="42"/>
      <c r="Q74" s="42"/>
      <c r="R74" s="42" t="s">
        <v>738</v>
      </c>
      <c r="S74" s="42" t="s">
        <v>139</v>
      </c>
      <c r="T74" s="43"/>
      <c r="U74" s="43"/>
    </row>
    <row r="75" spans="1:21" ht="31.2">
      <c r="A75" s="42" t="s">
        <v>817</v>
      </c>
      <c r="B75" s="42" t="s">
        <v>131</v>
      </c>
      <c r="C75" s="42" t="s">
        <v>181</v>
      </c>
      <c r="D75" s="42" t="s">
        <v>823</v>
      </c>
      <c r="E75" s="42" t="s">
        <v>817</v>
      </c>
      <c r="F75" s="42">
        <v>2005</v>
      </c>
      <c r="G75" s="42"/>
      <c r="H75" s="42" t="s">
        <v>137</v>
      </c>
      <c r="I75" s="42" t="s">
        <v>137</v>
      </c>
      <c r="J75" s="42">
        <v>2014</v>
      </c>
      <c r="K75" s="117">
        <v>2100</v>
      </c>
      <c r="L75" s="118">
        <v>0.125</v>
      </c>
      <c r="M75" s="119">
        <f t="shared" si="3"/>
        <v>7.2669196712626771</v>
      </c>
      <c r="N75" s="269">
        <f t="shared" si="4"/>
        <v>1954.6616065747464</v>
      </c>
      <c r="O75" s="270">
        <f t="shared" si="5"/>
        <v>145.33839342525354</v>
      </c>
      <c r="P75" s="42"/>
      <c r="Q75" s="42"/>
      <c r="R75" s="42" t="s">
        <v>799</v>
      </c>
      <c r="S75" s="42" t="s">
        <v>139</v>
      </c>
      <c r="T75" s="43"/>
      <c r="U75" s="43"/>
    </row>
    <row r="76" spans="1:21" ht="31.2">
      <c r="A76" s="42" t="s">
        <v>817</v>
      </c>
      <c r="B76" s="42" t="s">
        <v>131</v>
      </c>
      <c r="C76" s="42" t="s">
        <v>181</v>
      </c>
      <c r="D76" s="42" t="s">
        <v>824</v>
      </c>
      <c r="E76" s="42" t="s">
        <v>817</v>
      </c>
      <c r="F76" s="42">
        <v>2005</v>
      </c>
      <c r="G76" s="42"/>
      <c r="H76" s="42" t="s">
        <v>137</v>
      </c>
      <c r="I76" s="42" t="s">
        <v>137</v>
      </c>
      <c r="J76" s="42">
        <v>2014</v>
      </c>
      <c r="K76" s="117">
        <v>2100</v>
      </c>
      <c r="L76" s="118">
        <v>0.125</v>
      </c>
      <c r="M76" s="119">
        <f t="shared" si="3"/>
        <v>7.2669196712626771</v>
      </c>
      <c r="N76" s="269">
        <f t="shared" si="4"/>
        <v>1954.6616065747464</v>
      </c>
      <c r="O76" s="270">
        <f t="shared" si="5"/>
        <v>145.33839342525354</v>
      </c>
      <c r="P76" s="42"/>
      <c r="Q76" s="42"/>
      <c r="R76" s="42" t="s">
        <v>416</v>
      </c>
      <c r="S76" s="42" t="s">
        <v>139</v>
      </c>
      <c r="T76" s="43"/>
      <c r="U76" s="43"/>
    </row>
    <row r="77" spans="1:21" ht="31.2">
      <c r="A77" s="42" t="s">
        <v>817</v>
      </c>
      <c r="B77" s="42" t="s">
        <v>131</v>
      </c>
      <c r="C77" s="42" t="s">
        <v>181</v>
      </c>
      <c r="D77" s="42" t="s">
        <v>825</v>
      </c>
      <c r="E77" s="42" t="s">
        <v>817</v>
      </c>
      <c r="F77" s="42">
        <v>2005</v>
      </c>
      <c r="G77" s="42"/>
      <c r="H77" s="42" t="s">
        <v>137</v>
      </c>
      <c r="I77" s="42" t="s">
        <v>137</v>
      </c>
      <c r="J77" s="42">
        <v>2014</v>
      </c>
      <c r="K77" s="117">
        <v>2100</v>
      </c>
      <c r="L77" s="118">
        <v>0.125</v>
      </c>
      <c r="M77" s="119">
        <f t="shared" si="3"/>
        <v>7.2669196712626771</v>
      </c>
      <c r="N77" s="269">
        <f t="shared" si="4"/>
        <v>1954.6616065747464</v>
      </c>
      <c r="O77" s="270">
        <f t="shared" si="5"/>
        <v>145.33839342525354</v>
      </c>
      <c r="P77" s="42"/>
      <c r="Q77" s="42"/>
      <c r="R77" s="42" t="s">
        <v>728</v>
      </c>
      <c r="S77" s="42" t="s">
        <v>139</v>
      </c>
      <c r="T77" s="43"/>
      <c r="U77" s="43"/>
    </row>
    <row r="78" spans="1:21" ht="31.2">
      <c r="A78" s="42" t="s">
        <v>817</v>
      </c>
      <c r="B78" s="42" t="s">
        <v>131</v>
      </c>
      <c r="C78" s="42" t="s">
        <v>181</v>
      </c>
      <c r="D78" s="42" t="s">
        <v>826</v>
      </c>
      <c r="E78" s="42" t="s">
        <v>817</v>
      </c>
      <c r="F78" s="42">
        <v>2005</v>
      </c>
      <c r="G78" s="42"/>
      <c r="H78" s="42" t="s">
        <v>137</v>
      </c>
      <c r="I78" s="42" t="s">
        <v>137</v>
      </c>
      <c r="J78" s="42">
        <v>2014</v>
      </c>
      <c r="K78" s="117">
        <v>2100</v>
      </c>
      <c r="L78" s="118">
        <v>0.125</v>
      </c>
      <c r="M78" s="119">
        <f t="shared" si="3"/>
        <v>7.2669196712626771</v>
      </c>
      <c r="N78" s="269">
        <f t="shared" si="4"/>
        <v>1954.6616065747464</v>
      </c>
      <c r="O78" s="270">
        <f t="shared" si="5"/>
        <v>145.33839342525354</v>
      </c>
      <c r="P78" s="42"/>
      <c r="Q78" s="42"/>
      <c r="R78" s="42" t="s">
        <v>677</v>
      </c>
      <c r="S78" s="42" t="s">
        <v>139</v>
      </c>
      <c r="T78" s="43"/>
      <c r="U78" s="43"/>
    </row>
    <row r="79" spans="1:21" ht="31.2">
      <c r="A79" s="42" t="s">
        <v>817</v>
      </c>
      <c r="B79" s="42" t="s">
        <v>131</v>
      </c>
      <c r="C79" s="42" t="s">
        <v>181</v>
      </c>
      <c r="D79" s="42" t="s">
        <v>827</v>
      </c>
      <c r="E79" s="42" t="s">
        <v>817</v>
      </c>
      <c r="F79" s="42">
        <v>2005</v>
      </c>
      <c r="G79" s="42"/>
      <c r="H79" s="42" t="s">
        <v>137</v>
      </c>
      <c r="I79" s="42" t="s">
        <v>137</v>
      </c>
      <c r="J79" s="42">
        <v>2014</v>
      </c>
      <c r="K79" s="117">
        <v>2100</v>
      </c>
      <c r="L79" s="118">
        <v>0.125</v>
      </c>
      <c r="M79" s="119">
        <f t="shared" si="3"/>
        <v>7.2669196712626771</v>
      </c>
      <c r="N79" s="269">
        <f t="shared" si="4"/>
        <v>1954.6616065747464</v>
      </c>
      <c r="O79" s="270">
        <f t="shared" si="5"/>
        <v>145.33839342525354</v>
      </c>
      <c r="P79" s="42"/>
      <c r="Q79" s="42"/>
      <c r="R79" s="42" t="s">
        <v>810</v>
      </c>
      <c r="S79" s="42" t="s">
        <v>139</v>
      </c>
      <c r="T79" s="43"/>
      <c r="U79" s="43"/>
    </row>
    <row r="80" spans="1:21" ht="31.2">
      <c r="A80" s="42" t="s">
        <v>817</v>
      </c>
      <c r="B80" s="42" t="s">
        <v>131</v>
      </c>
      <c r="C80" s="42" t="s">
        <v>181</v>
      </c>
      <c r="D80" s="42" t="s">
        <v>828</v>
      </c>
      <c r="E80" s="42" t="s">
        <v>817</v>
      </c>
      <c r="F80" s="42">
        <v>2005</v>
      </c>
      <c r="G80" s="42"/>
      <c r="H80" s="42" t="s">
        <v>137</v>
      </c>
      <c r="I80" s="42" t="s">
        <v>137</v>
      </c>
      <c r="J80" s="42">
        <v>2014</v>
      </c>
      <c r="K80" s="117">
        <v>2100</v>
      </c>
      <c r="L80" s="118">
        <v>0.125</v>
      </c>
      <c r="M80" s="119">
        <f t="shared" si="3"/>
        <v>7.2669196712626771</v>
      </c>
      <c r="N80" s="269">
        <f t="shared" si="4"/>
        <v>1954.6616065747464</v>
      </c>
      <c r="O80" s="270">
        <f t="shared" si="5"/>
        <v>145.33839342525354</v>
      </c>
      <c r="P80" s="42"/>
      <c r="Q80" s="42"/>
      <c r="R80" s="42" t="s">
        <v>810</v>
      </c>
      <c r="S80" s="42" t="s">
        <v>139</v>
      </c>
      <c r="T80" s="43"/>
      <c r="U80" s="43"/>
    </row>
    <row r="81" spans="1:21">
      <c r="A81" s="42" t="s">
        <v>817</v>
      </c>
      <c r="B81" s="42" t="s">
        <v>131</v>
      </c>
      <c r="C81" s="42" t="s">
        <v>181</v>
      </c>
      <c r="D81" s="42" t="s">
        <v>829</v>
      </c>
      <c r="E81" s="42" t="s">
        <v>817</v>
      </c>
      <c r="F81" s="42">
        <v>2005</v>
      </c>
      <c r="G81" s="42"/>
      <c r="H81" s="42" t="s">
        <v>137</v>
      </c>
      <c r="I81" s="42" t="s">
        <v>137</v>
      </c>
      <c r="J81" s="42">
        <v>2014</v>
      </c>
      <c r="K81" s="117">
        <v>2100</v>
      </c>
      <c r="L81" s="118">
        <v>0.125</v>
      </c>
      <c r="M81" s="119">
        <f t="shared" si="3"/>
        <v>7.2669196712626771</v>
      </c>
      <c r="N81" s="269">
        <f t="shared" si="4"/>
        <v>1954.6616065747464</v>
      </c>
      <c r="O81" s="270">
        <f t="shared" si="5"/>
        <v>145.33839342525354</v>
      </c>
      <c r="P81" s="42"/>
      <c r="Q81" s="42"/>
      <c r="R81" s="42" t="s">
        <v>319</v>
      </c>
      <c r="S81" s="42" t="s">
        <v>139</v>
      </c>
      <c r="T81" s="43"/>
      <c r="U81" s="43"/>
    </row>
    <row r="82" spans="1:21" ht="31.2">
      <c r="A82" s="42" t="s">
        <v>817</v>
      </c>
      <c r="B82" s="42" t="s">
        <v>131</v>
      </c>
      <c r="C82" s="42" t="s">
        <v>181</v>
      </c>
      <c r="D82" s="42" t="s">
        <v>830</v>
      </c>
      <c r="E82" s="42" t="s">
        <v>817</v>
      </c>
      <c r="F82" s="42">
        <v>2005</v>
      </c>
      <c r="G82" s="42"/>
      <c r="H82" s="42" t="s">
        <v>137</v>
      </c>
      <c r="I82" s="42" t="s">
        <v>137</v>
      </c>
      <c r="J82" s="42">
        <v>2014</v>
      </c>
      <c r="K82" s="117">
        <v>2100</v>
      </c>
      <c r="L82" s="118">
        <v>0.125</v>
      </c>
      <c r="M82" s="119">
        <f t="shared" si="3"/>
        <v>7.2669196712626771</v>
      </c>
      <c r="N82" s="269">
        <f t="shared" si="4"/>
        <v>1954.6616065747464</v>
      </c>
      <c r="O82" s="270">
        <f t="shared" si="5"/>
        <v>145.33839342525354</v>
      </c>
      <c r="P82" s="42"/>
      <c r="Q82" s="42"/>
      <c r="R82" s="42" t="s">
        <v>755</v>
      </c>
      <c r="S82" s="42" t="s">
        <v>139</v>
      </c>
      <c r="T82" s="43"/>
      <c r="U82" s="43"/>
    </row>
    <row r="83" spans="1:21">
      <c r="A83" s="42" t="s">
        <v>817</v>
      </c>
      <c r="B83" s="42" t="s">
        <v>131</v>
      </c>
      <c r="C83" s="42" t="s">
        <v>181</v>
      </c>
      <c r="D83" s="42" t="s">
        <v>831</v>
      </c>
      <c r="E83" s="42" t="s">
        <v>817</v>
      </c>
      <c r="F83" s="42">
        <v>2005</v>
      </c>
      <c r="G83" s="42"/>
      <c r="H83" s="42" t="s">
        <v>137</v>
      </c>
      <c r="I83" s="42" t="s">
        <v>137</v>
      </c>
      <c r="J83" s="42">
        <v>2014</v>
      </c>
      <c r="K83" s="117">
        <v>2100</v>
      </c>
      <c r="L83" s="118">
        <v>0.125</v>
      </c>
      <c r="M83" s="119">
        <f t="shared" si="3"/>
        <v>7.2669196712626771</v>
      </c>
      <c r="N83" s="269">
        <f t="shared" si="4"/>
        <v>1954.6616065747464</v>
      </c>
      <c r="O83" s="270">
        <f t="shared" si="5"/>
        <v>145.33839342525354</v>
      </c>
      <c r="P83" s="42"/>
      <c r="Q83" s="42"/>
      <c r="R83" s="42" t="s">
        <v>235</v>
      </c>
      <c r="S83" s="42" t="s">
        <v>139</v>
      </c>
      <c r="T83" s="43"/>
      <c r="U83" s="43"/>
    </row>
    <row r="84" spans="1:21">
      <c r="A84" s="42" t="s">
        <v>817</v>
      </c>
      <c r="B84" s="42" t="s">
        <v>131</v>
      </c>
      <c r="C84" s="42" t="s">
        <v>181</v>
      </c>
      <c r="D84" s="42" t="s">
        <v>832</v>
      </c>
      <c r="E84" s="42" t="s">
        <v>817</v>
      </c>
      <c r="F84" s="42">
        <v>2005</v>
      </c>
      <c r="G84" s="42"/>
      <c r="H84" s="42" t="s">
        <v>137</v>
      </c>
      <c r="I84" s="42" t="s">
        <v>137</v>
      </c>
      <c r="J84" s="42">
        <v>2014</v>
      </c>
      <c r="K84" s="117">
        <v>2100</v>
      </c>
      <c r="L84" s="118">
        <v>0.125</v>
      </c>
      <c r="M84" s="119">
        <f t="shared" si="3"/>
        <v>7.2669196712626771</v>
      </c>
      <c r="N84" s="269">
        <f t="shared" si="4"/>
        <v>1954.6616065747464</v>
      </c>
      <c r="O84" s="270">
        <f t="shared" si="5"/>
        <v>145.33839342525354</v>
      </c>
      <c r="P84" s="42"/>
      <c r="Q84" s="42"/>
      <c r="R84" s="42" t="s">
        <v>199</v>
      </c>
      <c r="S84" s="42" t="s">
        <v>139</v>
      </c>
      <c r="T84" s="43"/>
      <c r="U84" s="43"/>
    </row>
    <row r="85" spans="1:21" ht="31.2">
      <c r="A85" s="42" t="s">
        <v>817</v>
      </c>
      <c r="B85" s="42" t="s">
        <v>131</v>
      </c>
      <c r="C85" s="42" t="s">
        <v>181</v>
      </c>
      <c r="D85" s="42" t="s">
        <v>833</v>
      </c>
      <c r="E85" s="42" t="s">
        <v>817</v>
      </c>
      <c r="F85" s="42">
        <v>2005</v>
      </c>
      <c r="G85" s="42"/>
      <c r="H85" s="42" t="s">
        <v>137</v>
      </c>
      <c r="I85" s="42" t="s">
        <v>137</v>
      </c>
      <c r="J85" s="42">
        <v>2014</v>
      </c>
      <c r="K85" s="117">
        <v>2100</v>
      </c>
      <c r="L85" s="118">
        <v>0.125</v>
      </c>
      <c r="M85" s="119">
        <f t="shared" si="3"/>
        <v>7.2669196712626771</v>
      </c>
      <c r="N85" s="269">
        <f t="shared" si="4"/>
        <v>1954.6616065747464</v>
      </c>
      <c r="O85" s="270">
        <f t="shared" si="5"/>
        <v>145.33839342525354</v>
      </c>
      <c r="P85" s="42"/>
      <c r="Q85" s="42"/>
      <c r="R85" s="42" t="s">
        <v>219</v>
      </c>
      <c r="S85" s="42" t="s">
        <v>139</v>
      </c>
      <c r="T85" s="43"/>
      <c r="U85" s="43"/>
    </row>
    <row r="86" spans="1:21">
      <c r="A86" s="42" t="s">
        <v>817</v>
      </c>
      <c r="B86" s="42" t="s">
        <v>131</v>
      </c>
      <c r="C86" s="42"/>
      <c r="D86" s="42" t="s">
        <v>834</v>
      </c>
      <c r="E86" s="42" t="s">
        <v>817</v>
      </c>
      <c r="F86" s="42">
        <v>2005</v>
      </c>
      <c r="G86" s="42"/>
      <c r="H86" s="42" t="s">
        <v>137</v>
      </c>
      <c r="I86" s="42" t="s">
        <v>137</v>
      </c>
      <c r="J86" s="42">
        <v>2014</v>
      </c>
      <c r="K86" s="117">
        <v>2100</v>
      </c>
      <c r="L86" s="118">
        <v>0.125</v>
      </c>
      <c r="M86" s="119">
        <f t="shared" si="3"/>
        <v>7.2669196712626771</v>
      </c>
      <c r="N86" s="269">
        <f t="shared" si="4"/>
        <v>1954.6616065747464</v>
      </c>
      <c r="O86" s="270">
        <f t="shared" si="5"/>
        <v>145.33839342525354</v>
      </c>
      <c r="P86" s="42"/>
      <c r="Q86" s="42"/>
      <c r="R86" s="42" t="s">
        <v>318</v>
      </c>
      <c r="S86" s="42" t="s">
        <v>139</v>
      </c>
      <c r="T86" s="43"/>
      <c r="U86" s="43"/>
    </row>
    <row r="87" spans="1:21" ht="31.2">
      <c r="A87" s="42" t="s">
        <v>835</v>
      </c>
      <c r="B87" s="42" t="s">
        <v>131</v>
      </c>
      <c r="C87" s="42" t="s">
        <v>181</v>
      </c>
      <c r="D87" s="42" t="s">
        <v>836</v>
      </c>
      <c r="E87" s="42" t="s">
        <v>837</v>
      </c>
      <c r="F87" s="42">
        <v>2005</v>
      </c>
      <c r="G87" s="42"/>
      <c r="H87" s="42" t="s">
        <v>137</v>
      </c>
      <c r="I87" s="42" t="s">
        <v>137</v>
      </c>
      <c r="J87" s="42">
        <v>2014</v>
      </c>
      <c r="K87" s="117">
        <v>21474</v>
      </c>
      <c r="L87" s="118">
        <v>0.125</v>
      </c>
      <c r="M87" s="119">
        <f t="shared" si="3"/>
        <v>74.309444295568923</v>
      </c>
      <c r="N87" s="269">
        <f t="shared" si="4"/>
        <v>19987.811114088621</v>
      </c>
      <c r="O87" s="270">
        <f t="shared" si="5"/>
        <v>1486.1888859113785</v>
      </c>
      <c r="P87" s="42"/>
      <c r="Q87" s="42"/>
      <c r="R87" s="42" t="s">
        <v>766</v>
      </c>
      <c r="S87" s="42" t="s">
        <v>139</v>
      </c>
      <c r="T87" s="43"/>
      <c r="U87" s="43"/>
    </row>
    <row r="88" spans="1:21">
      <c r="A88" s="42" t="s">
        <v>838</v>
      </c>
      <c r="B88" s="42" t="s">
        <v>131</v>
      </c>
      <c r="C88" s="42" t="s">
        <v>181</v>
      </c>
      <c r="D88" s="42" t="s">
        <v>839</v>
      </c>
      <c r="E88" s="42" t="s">
        <v>840</v>
      </c>
      <c r="F88" s="42">
        <v>2005</v>
      </c>
      <c r="G88" s="42"/>
      <c r="H88" s="42" t="s">
        <v>137</v>
      </c>
      <c r="I88" s="42" t="s">
        <v>137</v>
      </c>
      <c r="J88" s="42">
        <v>2014</v>
      </c>
      <c r="K88" s="117">
        <v>14200</v>
      </c>
      <c r="L88" s="118">
        <v>0.125</v>
      </c>
      <c r="M88" s="119">
        <f t="shared" si="3"/>
        <v>49.138218729490482</v>
      </c>
      <c r="N88" s="269">
        <f t="shared" si="4"/>
        <v>13217.235625410191</v>
      </c>
      <c r="O88" s="270">
        <f t="shared" si="5"/>
        <v>982.76437458980968</v>
      </c>
      <c r="P88" s="42"/>
      <c r="Q88" s="42"/>
      <c r="R88" s="42" t="s">
        <v>199</v>
      </c>
      <c r="S88" s="42" t="s">
        <v>139</v>
      </c>
      <c r="T88" s="43"/>
      <c r="U88" s="43"/>
    </row>
    <row r="89" spans="1:21" ht="31.2">
      <c r="A89" s="42" t="s">
        <v>841</v>
      </c>
      <c r="B89" s="42" t="s">
        <v>131</v>
      </c>
      <c r="C89" s="42" t="s">
        <v>181</v>
      </c>
      <c r="D89" s="42" t="s">
        <v>842</v>
      </c>
      <c r="E89" s="42" t="s">
        <v>843</v>
      </c>
      <c r="F89" s="42">
        <v>2005</v>
      </c>
      <c r="G89" s="42"/>
      <c r="H89" s="42" t="s">
        <v>137</v>
      </c>
      <c r="I89" s="42" t="s">
        <v>137</v>
      </c>
      <c r="J89" s="42">
        <v>2014</v>
      </c>
      <c r="K89" s="117">
        <v>15700</v>
      </c>
      <c r="L89" s="118">
        <v>0.125</v>
      </c>
      <c r="M89" s="119">
        <f t="shared" si="3"/>
        <v>54.328875637535262</v>
      </c>
      <c r="N89" s="269">
        <f t="shared" si="4"/>
        <v>14613.422487249294</v>
      </c>
      <c r="O89" s="270">
        <f t="shared" si="5"/>
        <v>1086.5775127507052</v>
      </c>
      <c r="P89" s="42"/>
      <c r="Q89" s="42"/>
      <c r="R89" s="42" t="s">
        <v>199</v>
      </c>
      <c r="S89" s="42" t="s">
        <v>139</v>
      </c>
      <c r="T89" s="43"/>
      <c r="U89" s="43"/>
    </row>
    <row r="90" spans="1:21" ht="31.2">
      <c r="A90" s="42" t="s">
        <v>841</v>
      </c>
      <c r="B90" s="42" t="s">
        <v>131</v>
      </c>
      <c r="C90" s="42" t="s">
        <v>181</v>
      </c>
      <c r="D90" s="42" t="s">
        <v>844</v>
      </c>
      <c r="E90" s="42" t="s">
        <v>843</v>
      </c>
      <c r="F90" s="42">
        <v>2005</v>
      </c>
      <c r="G90" s="42"/>
      <c r="H90" s="42" t="s">
        <v>137</v>
      </c>
      <c r="I90" s="42" t="s">
        <v>137</v>
      </c>
      <c r="J90" s="42">
        <v>2014</v>
      </c>
      <c r="K90" s="117">
        <v>15700</v>
      </c>
      <c r="L90" s="118">
        <v>0.125</v>
      </c>
      <c r="M90" s="119">
        <f t="shared" si="3"/>
        <v>54.328875637535262</v>
      </c>
      <c r="N90" s="269">
        <f t="shared" si="4"/>
        <v>14613.422487249294</v>
      </c>
      <c r="O90" s="270">
        <f t="shared" si="5"/>
        <v>1086.5775127507052</v>
      </c>
      <c r="P90" s="42"/>
      <c r="Q90" s="42"/>
      <c r="R90" s="42" t="s">
        <v>610</v>
      </c>
      <c r="S90" s="42" t="s">
        <v>139</v>
      </c>
      <c r="T90" s="43"/>
      <c r="U90" s="43"/>
    </row>
    <row r="91" spans="1:21" ht="31.2">
      <c r="A91" s="42" t="s">
        <v>841</v>
      </c>
      <c r="B91" s="42" t="s">
        <v>131</v>
      </c>
      <c r="C91" s="42" t="s">
        <v>181</v>
      </c>
      <c r="D91" s="42" t="s">
        <v>845</v>
      </c>
      <c r="E91" s="42" t="s">
        <v>843</v>
      </c>
      <c r="F91" s="42">
        <v>2005</v>
      </c>
      <c r="G91" s="42"/>
      <c r="H91" s="42" t="s">
        <v>137</v>
      </c>
      <c r="I91" s="42" t="s">
        <v>137</v>
      </c>
      <c r="J91" s="42">
        <v>2014</v>
      </c>
      <c r="K91" s="117">
        <v>15700</v>
      </c>
      <c r="L91" s="118">
        <v>0.125</v>
      </c>
      <c r="M91" s="119">
        <f t="shared" si="3"/>
        <v>54.328875637535262</v>
      </c>
      <c r="N91" s="269">
        <f t="shared" si="4"/>
        <v>14613.422487249294</v>
      </c>
      <c r="O91" s="270">
        <f t="shared" si="5"/>
        <v>1086.5775127507052</v>
      </c>
      <c r="P91" s="42"/>
      <c r="Q91" s="42"/>
      <c r="R91" s="42" t="s">
        <v>416</v>
      </c>
      <c r="S91" s="42" t="s">
        <v>139</v>
      </c>
      <c r="T91" s="43"/>
      <c r="U91" s="43"/>
    </row>
    <row r="92" spans="1:21" ht="31.2">
      <c r="A92" s="42" t="s">
        <v>841</v>
      </c>
      <c r="B92" s="42" t="s">
        <v>131</v>
      </c>
      <c r="C92" s="42" t="s">
        <v>181</v>
      </c>
      <c r="D92" s="42" t="s">
        <v>846</v>
      </c>
      <c r="E92" s="42" t="s">
        <v>843</v>
      </c>
      <c r="F92" s="42">
        <v>2005</v>
      </c>
      <c r="G92" s="42"/>
      <c r="H92" s="42" t="s">
        <v>137</v>
      </c>
      <c r="I92" s="42" t="s">
        <v>137</v>
      </c>
      <c r="J92" s="42">
        <v>2014</v>
      </c>
      <c r="K92" s="117">
        <v>15700</v>
      </c>
      <c r="L92" s="118">
        <v>0.125</v>
      </c>
      <c r="M92" s="119">
        <f t="shared" si="3"/>
        <v>54.328875637535262</v>
      </c>
      <c r="N92" s="269">
        <f t="shared" si="4"/>
        <v>14613.422487249294</v>
      </c>
      <c r="O92" s="270">
        <f t="shared" si="5"/>
        <v>1086.5775127507052</v>
      </c>
      <c r="P92" s="42"/>
      <c r="Q92" s="42"/>
      <c r="R92" s="42" t="s">
        <v>333</v>
      </c>
      <c r="S92" s="42" t="s">
        <v>139</v>
      </c>
      <c r="T92" s="43"/>
      <c r="U92" s="43"/>
    </row>
    <row r="93" spans="1:21" ht="31.2">
      <c r="A93" s="42" t="s">
        <v>841</v>
      </c>
      <c r="B93" s="42" t="s">
        <v>131</v>
      </c>
      <c r="C93" s="42" t="s">
        <v>181</v>
      </c>
      <c r="D93" s="42" t="s">
        <v>847</v>
      </c>
      <c r="E93" s="42" t="s">
        <v>843</v>
      </c>
      <c r="F93" s="42">
        <v>2005</v>
      </c>
      <c r="G93" s="42"/>
      <c r="H93" s="42" t="s">
        <v>137</v>
      </c>
      <c r="I93" s="42" t="s">
        <v>137</v>
      </c>
      <c r="J93" s="42">
        <v>2014</v>
      </c>
      <c r="K93" s="117">
        <v>15700</v>
      </c>
      <c r="L93" s="118">
        <v>0.125</v>
      </c>
      <c r="M93" s="119">
        <f t="shared" si="3"/>
        <v>54.328875637535262</v>
      </c>
      <c r="N93" s="269">
        <f t="shared" si="4"/>
        <v>14613.422487249294</v>
      </c>
      <c r="O93" s="270">
        <f t="shared" si="5"/>
        <v>1086.5775127507052</v>
      </c>
      <c r="P93" s="42"/>
      <c r="Q93" s="42"/>
      <c r="R93" s="42" t="s">
        <v>848</v>
      </c>
      <c r="S93" s="42" t="s">
        <v>139</v>
      </c>
      <c r="T93" s="43"/>
      <c r="U93" s="43"/>
    </row>
    <row r="94" spans="1:21" ht="31.2">
      <c r="A94" s="42" t="s">
        <v>841</v>
      </c>
      <c r="B94" s="42" t="s">
        <v>131</v>
      </c>
      <c r="C94" s="42" t="s">
        <v>181</v>
      </c>
      <c r="D94" s="42" t="s">
        <v>849</v>
      </c>
      <c r="E94" s="42" t="s">
        <v>843</v>
      </c>
      <c r="F94" s="42">
        <v>2005</v>
      </c>
      <c r="G94" s="42"/>
      <c r="H94" s="42" t="s">
        <v>137</v>
      </c>
      <c r="I94" s="42" t="s">
        <v>137</v>
      </c>
      <c r="J94" s="42">
        <v>2014</v>
      </c>
      <c r="K94" s="117">
        <v>15700</v>
      </c>
      <c r="L94" s="118">
        <v>0.125</v>
      </c>
      <c r="M94" s="119">
        <f t="shared" si="3"/>
        <v>54.328875637535262</v>
      </c>
      <c r="N94" s="269">
        <f t="shared" si="4"/>
        <v>14613.422487249294</v>
      </c>
      <c r="O94" s="270">
        <f t="shared" si="5"/>
        <v>1086.5775127507052</v>
      </c>
      <c r="P94" s="42"/>
      <c r="Q94" s="42"/>
      <c r="R94" s="42" t="s">
        <v>794</v>
      </c>
      <c r="S94" s="42" t="s">
        <v>139</v>
      </c>
      <c r="T94" s="43"/>
      <c r="U94" s="43"/>
    </row>
    <row r="95" spans="1:21" ht="62.4">
      <c r="A95" s="42" t="s">
        <v>841</v>
      </c>
      <c r="B95" s="42" t="s">
        <v>131</v>
      </c>
      <c r="C95" s="42" t="s">
        <v>181</v>
      </c>
      <c r="D95" s="42" t="s">
        <v>850</v>
      </c>
      <c r="E95" s="42" t="s">
        <v>851</v>
      </c>
      <c r="F95" s="42">
        <v>2005</v>
      </c>
      <c r="G95" s="42"/>
      <c r="H95" s="42" t="s">
        <v>137</v>
      </c>
      <c r="I95" s="42" t="s">
        <v>137</v>
      </c>
      <c r="J95" s="42">
        <v>2014</v>
      </c>
      <c r="K95" s="117">
        <v>15700</v>
      </c>
      <c r="L95" s="118">
        <v>0.125</v>
      </c>
      <c r="M95" s="119">
        <f t="shared" si="3"/>
        <v>54.328875637535262</v>
      </c>
      <c r="N95" s="269">
        <f t="shared" si="4"/>
        <v>14613.422487249294</v>
      </c>
      <c r="O95" s="270">
        <f t="shared" si="5"/>
        <v>1086.5775127507052</v>
      </c>
      <c r="P95" s="42"/>
      <c r="Q95" s="42"/>
      <c r="R95" s="42" t="s">
        <v>852</v>
      </c>
      <c r="S95" s="42" t="s">
        <v>139</v>
      </c>
      <c r="T95" s="43"/>
      <c r="U95" s="43"/>
    </row>
    <row r="96" spans="1:21" ht="31.2">
      <c r="A96" s="42" t="s">
        <v>841</v>
      </c>
      <c r="B96" s="42" t="s">
        <v>131</v>
      </c>
      <c r="C96" s="42" t="s">
        <v>181</v>
      </c>
      <c r="D96" s="42" t="s">
        <v>853</v>
      </c>
      <c r="E96" s="42" t="s">
        <v>843</v>
      </c>
      <c r="F96" s="42">
        <v>2005</v>
      </c>
      <c r="G96" s="42"/>
      <c r="H96" s="42" t="s">
        <v>137</v>
      </c>
      <c r="I96" s="42" t="s">
        <v>137</v>
      </c>
      <c r="J96" s="42">
        <v>2014</v>
      </c>
      <c r="K96" s="117">
        <v>15700</v>
      </c>
      <c r="L96" s="118">
        <v>0.125</v>
      </c>
      <c r="M96" s="119">
        <f t="shared" si="3"/>
        <v>54.328875637535262</v>
      </c>
      <c r="N96" s="269">
        <f t="shared" si="4"/>
        <v>14613.422487249294</v>
      </c>
      <c r="O96" s="270">
        <f t="shared" si="5"/>
        <v>1086.5775127507052</v>
      </c>
      <c r="P96" s="42"/>
      <c r="Q96" s="42"/>
      <c r="R96" s="42" t="s">
        <v>392</v>
      </c>
      <c r="S96" s="42" t="s">
        <v>139</v>
      </c>
      <c r="T96" s="43"/>
      <c r="U96" s="43"/>
    </row>
    <row r="97" spans="1:21" ht="31.2">
      <c r="A97" s="42" t="s">
        <v>841</v>
      </c>
      <c r="B97" s="42" t="s">
        <v>131</v>
      </c>
      <c r="C97" s="42" t="s">
        <v>181</v>
      </c>
      <c r="D97" s="42" t="s">
        <v>854</v>
      </c>
      <c r="E97" s="42" t="s">
        <v>843</v>
      </c>
      <c r="F97" s="42">
        <v>2005</v>
      </c>
      <c r="G97" s="42"/>
      <c r="H97" s="42" t="s">
        <v>137</v>
      </c>
      <c r="I97" s="42" t="s">
        <v>137</v>
      </c>
      <c r="J97" s="42">
        <v>2014</v>
      </c>
      <c r="K97" s="117">
        <v>15700</v>
      </c>
      <c r="L97" s="118">
        <v>0.125</v>
      </c>
      <c r="M97" s="119">
        <f t="shared" si="3"/>
        <v>54.328875637535262</v>
      </c>
      <c r="N97" s="269">
        <f t="shared" si="4"/>
        <v>14613.422487249294</v>
      </c>
      <c r="O97" s="270">
        <f t="shared" si="5"/>
        <v>1086.5775127507052</v>
      </c>
      <c r="P97" s="42"/>
      <c r="Q97" s="42"/>
      <c r="R97" s="42" t="s">
        <v>855</v>
      </c>
      <c r="S97" s="42" t="s">
        <v>139</v>
      </c>
      <c r="T97" s="43"/>
      <c r="U97" s="43"/>
    </row>
    <row r="98" spans="1:21" ht="31.2">
      <c r="A98" s="42" t="s">
        <v>856</v>
      </c>
      <c r="B98" s="42" t="s">
        <v>131</v>
      </c>
      <c r="C98" s="42" t="s">
        <v>181</v>
      </c>
      <c r="D98" s="42" t="s">
        <v>857</v>
      </c>
      <c r="E98" s="42" t="s">
        <v>858</v>
      </c>
      <c r="F98" s="42">
        <v>2005</v>
      </c>
      <c r="G98" s="42"/>
      <c r="H98" s="42" t="s">
        <v>137</v>
      </c>
      <c r="I98" s="42" t="s">
        <v>137</v>
      </c>
      <c r="J98" s="42">
        <v>2014</v>
      </c>
      <c r="K98" s="117">
        <v>9020</v>
      </c>
      <c r="L98" s="118">
        <v>0.125</v>
      </c>
      <c r="M98" s="119">
        <f t="shared" si="3"/>
        <v>31.213150207042549</v>
      </c>
      <c r="N98" s="269">
        <f t="shared" si="4"/>
        <v>8395.7369958591498</v>
      </c>
      <c r="O98" s="270">
        <f t="shared" si="5"/>
        <v>624.26300414085097</v>
      </c>
      <c r="P98" s="42"/>
      <c r="Q98" s="42"/>
      <c r="R98" s="42" t="s">
        <v>199</v>
      </c>
      <c r="S98" s="42" t="s">
        <v>139</v>
      </c>
      <c r="T98" s="43"/>
      <c r="U98" s="43"/>
    </row>
    <row r="99" spans="1:21" ht="46.8">
      <c r="A99" s="42" t="s">
        <v>859</v>
      </c>
      <c r="B99" s="42" t="s">
        <v>131</v>
      </c>
      <c r="C99" s="42" t="s">
        <v>181</v>
      </c>
      <c r="D99" s="42" t="s">
        <v>860</v>
      </c>
      <c r="E99" s="42" t="s">
        <v>861</v>
      </c>
      <c r="F99" s="42">
        <v>2005</v>
      </c>
      <c r="G99" s="42"/>
      <c r="H99" s="42" t="s">
        <v>137</v>
      </c>
      <c r="I99" s="42" t="s">
        <v>137</v>
      </c>
      <c r="J99" s="42">
        <v>2014</v>
      </c>
      <c r="K99" s="117">
        <v>11220</v>
      </c>
      <c r="L99" s="118">
        <v>0.125</v>
      </c>
      <c r="M99" s="119">
        <f t="shared" si="3"/>
        <v>38.826113672174877</v>
      </c>
      <c r="N99" s="269">
        <f t="shared" si="4"/>
        <v>10443.477726556503</v>
      </c>
      <c r="O99" s="270">
        <f t="shared" si="5"/>
        <v>776.52227344349751</v>
      </c>
      <c r="P99" s="42"/>
      <c r="Q99" s="42"/>
      <c r="R99" s="42" t="s">
        <v>610</v>
      </c>
      <c r="S99" s="42" t="s">
        <v>139</v>
      </c>
      <c r="T99" s="43"/>
      <c r="U99" s="43"/>
    </row>
    <row r="100" spans="1:21" ht="46.8">
      <c r="A100" s="42" t="s">
        <v>859</v>
      </c>
      <c r="B100" s="42" t="s">
        <v>131</v>
      </c>
      <c r="C100" s="42" t="s">
        <v>181</v>
      </c>
      <c r="D100" s="42" t="s">
        <v>862</v>
      </c>
      <c r="E100" s="42" t="s">
        <v>861</v>
      </c>
      <c r="F100" s="42">
        <v>2005</v>
      </c>
      <c r="G100" s="42"/>
      <c r="H100" s="42" t="s">
        <v>137</v>
      </c>
      <c r="I100" s="42" t="s">
        <v>137</v>
      </c>
      <c r="J100" s="42">
        <v>2014</v>
      </c>
      <c r="K100" s="117">
        <v>11220</v>
      </c>
      <c r="L100" s="118">
        <v>0.125</v>
      </c>
      <c r="M100" s="119">
        <f t="shared" si="3"/>
        <v>38.826113672174877</v>
      </c>
      <c r="N100" s="269">
        <f t="shared" si="4"/>
        <v>10443.477726556503</v>
      </c>
      <c r="O100" s="270">
        <f t="shared" si="5"/>
        <v>776.52227344349751</v>
      </c>
      <c r="P100" s="42"/>
      <c r="Q100" s="42"/>
      <c r="R100" s="42" t="s">
        <v>231</v>
      </c>
      <c r="S100" s="42" t="s">
        <v>139</v>
      </c>
      <c r="T100" s="43"/>
      <c r="U100" s="43"/>
    </row>
    <row r="101" spans="1:21" ht="46.8">
      <c r="A101" s="42" t="s">
        <v>859</v>
      </c>
      <c r="B101" s="42" t="s">
        <v>131</v>
      </c>
      <c r="C101" s="42" t="s">
        <v>181</v>
      </c>
      <c r="D101" s="42" t="s">
        <v>863</v>
      </c>
      <c r="E101" s="42" t="s">
        <v>861</v>
      </c>
      <c r="F101" s="42">
        <v>2005</v>
      </c>
      <c r="G101" s="42"/>
      <c r="H101" s="42" t="s">
        <v>137</v>
      </c>
      <c r="I101" s="42" t="s">
        <v>137</v>
      </c>
      <c r="J101" s="42">
        <v>2014</v>
      </c>
      <c r="K101" s="117">
        <v>11220</v>
      </c>
      <c r="L101" s="118">
        <v>0.125</v>
      </c>
      <c r="M101" s="119">
        <f t="shared" si="3"/>
        <v>38.826113672174877</v>
      </c>
      <c r="N101" s="269">
        <f t="shared" si="4"/>
        <v>10443.477726556503</v>
      </c>
      <c r="O101" s="270">
        <f t="shared" si="5"/>
        <v>776.52227344349751</v>
      </c>
      <c r="P101" s="42"/>
      <c r="Q101" s="42"/>
      <c r="R101" s="42" t="s">
        <v>392</v>
      </c>
      <c r="S101" s="42" t="s">
        <v>139</v>
      </c>
      <c r="T101" s="43"/>
      <c r="U101" s="43"/>
    </row>
    <row r="102" spans="1:21" ht="46.8">
      <c r="A102" s="42" t="s">
        <v>859</v>
      </c>
      <c r="B102" s="42" t="s">
        <v>131</v>
      </c>
      <c r="C102" s="42" t="s">
        <v>181</v>
      </c>
      <c r="D102" s="42" t="s">
        <v>864</v>
      </c>
      <c r="E102" s="42" t="s">
        <v>861</v>
      </c>
      <c r="F102" s="42">
        <v>2005</v>
      </c>
      <c r="G102" s="42"/>
      <c r="H102" s="42" t="s">
        <v>137</v>
      </c>
      <c r="I102" s="42" t="s">
        <v>137</v>
      </c>
      <c r="J102" s="42">
        <v>2014</v>
      </c>
      <c r="K102" s="117">
        <v>11220</v>
      </c>
      <c r="L102" s="118">
        <v>0.125</v>
      </c>
      <c r="M102" s="119">
        <f t="shared" si="3"/>
        <v>38.826113672174877</v>
      </c>
      <c r="N102" s="269">
        <f t="shared" si="4"/>
        <v>10443.477726556503</v>
      </c>
      <c r="O102" s="270">
        <f t="shared" si="5"/>
        <v>776.52227344349751</v>
      </c>
      <c r="P102" s="42"/>
      <c r="Q102" s="42"/>
      <c r="R102" s="42" t="s">
        <v>865</v>
      </c>
      <c r="S102" s="42" t="s">
        <v>139</v>
      </c>
      <c r="T102" s="43"/>
      <c r="U102" s="43"/>
    </row>
    <row r="103" spans="1:21">
      <c r="A103" s="42" t="s">
        <v>866</v>
      </c>
      <c r="B103" s="42" t="s">
        <v>131</v>
      </c>
      <c r="C103" s="42" t="s">
        <v>181</v>
      </c>
      <c r="D103" s="42" t="s">
        <v>867</v>
      </c>
      <c r="E103" s="42" t="s">
        <v>868</v>
      </c>
      <c r="F103" s="42">
        <v>2005</v>
      </c>
      <c r="G103" s="42"/>
      <c r="H103" s="42" t="s">
        <v>137</v>
      </c>
      <c r="I103" s="42" t="s">
        <v>137</v>
      </c>
      <c r="J103" s="42">
        <v>2014</v>
      </c>
      <c r="K103" s="117">
        <v>12870</v>
      </c>
      <c r="L103" s="118">
        <v>0.125</v>
      </c>
      <c r="M103" s="119">
        <f t="shared" si="3"/>
        <v>44.535836271024124</v>
      </c>
      <c r="N103" s="269">
        <f t="shared" si="4"/>
        <v>11979.283274579517</v>
      </c>
      <c r="O103" s="270">
        <f t="shared" si="5"/>
        <v>890.71672542048248</v>
      </c>
      <c r="P103" s="42"/>
      <c r="Q103" s="42"/>
      <c r="R103" s="42" t="s">
        <v>869</v>
      </c>
      <c r="S103" s="42" t="s">
        <v>139</v>
      </c>
      <c r="T103" s="43"/>
      <c r="U103" s="43"/>
    </row>
    <row r="104" spans="1:21">
      <c r="A104" s="42" t="s">
        <v>866</v>
      </c>
      <c r="B104" s="42" t="s">
        <v>131</v>
      </c>
      <c r="C104" s="42" t="s">
        <v>181</v>
      </c>
      <c r="D104" s="42" t="s">
        <v>870</v>
      </c>
      <c r="E104" s="42" t="s">
        <v>868</v>
      </c>
      <c r="F104" s="42">
        <v>2005</v>
      </c>
      <c r="G104" s="42"/>
      <c r="H104" s="42" t="s">
        <v>137</v>
      </c>
      <c r="I104" s="42" t="s">
        <v>137</v>
      </c>
      <c r="J104" s="42">
        <v>2014</v>
      </c>
      <c r="K104" s="117">
        <v>12870</v>
      </c>
      <c r="L104" s="118">
        <v>0.125</v>
      </c>
      <c r="M104" s="119">
        <f t="shared" si="3"/>
        <v>44.535836271024124</v>
      </c>
      <c r="N104" s="269">
        <f t="shared" si="4"/>
        <v>11979.283274579517</v>
      </c>
      <c r="O104" s="270">
        <f t="shared" si="5"/>
        <v>890.71672542048248</v>
      </c>
      <c r="P104" s="42"/>
      <c r="Q104" s="42"/>
      <c r="R104" s="42" t="s">
        <v>199</v>
      </c>
      <c r="S104" s="42" t="s">
        <v>139</v>
      </c>
      <c r="T104" s="43"/>
      <c r="U104" s="43"/>
    </row>
    <row r="105" spans="1:21" ht="31.2">
      <c r="A105" s="42" t="s">
        <v>866</v>
      </c>
      <c r="B105" s="42" t="s">
        <v>131</v>
      </c>
      <c r="C105" s="42" t="s">
        <v>181</v>
      </c>
      <c r="D105" s="42" t="s">
        <v>871</v>
      </c>
      <c r="E105" s="42" t="s">
        <v>868</v>
      </c>
      <c r="F105" s="42">
        <v>2005</v>
      </c>
      <c r="G105" s="42"/>
      <c r="H105" s="42" t="s">
        <v>137</v>
      </c>
      <c r="I105" s="42" t="s">
        <v>137</v>
      </c>
      <c r="J105" s="42">
        <v>2014</v>
      </c>
      <c r="K105" s="117">
        <v>12870</v>
      </c>
      <c r="L105" s="118">
        <v>0.125</v>
      </c>
      <c r="M105" s="119">
        <f t="shared" si="3"/>
        <v>44.535836271024124</v>
      </c>
      <c r="N105" s="269">
        <f t="shared" si="4"/>
        <v>11979.283274579517</v>
      </c>
      <c r="O105" s="270">
        <f t="shared" si="5"/>
        <v>890.71672542048248</v>
      </c>
      <c r="P105" s="42"/>
      <c r="Q105" s="42"/>
      <c r="R105" s="42" t="s">
        <v>766</v>
      </c>
      <c r="S105" s="42" t="s">
        <v>139</v>
      </c>
      <c r="T105" s="43"/>
      <c r="U105" s="43"/>
    </row>
    <row r="106" spans="1:21" ht="31.2">
      <c r="A106" s="42" t="s">
        <v>866</v>
      </c>
      <c r="B106" s="42" t="s">
        <v>131</v>
      </c>
      <c r="C106" s="42" t="s">
        <v>181</v>
      </c>
      <c r="D106" s="42" t="s">
        <v>872</v>
      </c>
      <c r="E106" s="42" t="s">
        <v>873</v>
      </c>
      <c r="F106" s="42">
        <v>2005</v>
      </c>
      <c r="G106" s="42"/>
      <c r="H106" s="42" t="s">
        <v>137</v>
      </c>
      <c r="I106" s="42" t="s">
        <v>137</v>
      </c>
      <c r="J106" s="42">
        <v>2014</v>
      </c>
      <c r="K106" s="117">
        <v>12870</v>
      </c>
      <c r="L106" s="118">
        <v>0.125</v>
      </c>
      <c r="M106" s="119">
        <f t="shared" si="3"/>
        <v>44.535836271024124</v>
      </c>
      <c r="N106" s="269">
        <f t="shared" si="4"/>
        <v>11979.283274579517</v>
      </c>
      <c r="O106" s="270">
        <f t="shared" si="5"/>
        <v>890.71672542048248</v>
      </c>
      <c r="P106" s="42"/>
      <c r="Q106" s="42"/>
      <c r="R106" s="42" t="s">
        <v>304</v>
      </c>
      <c r="S106" s="42" t="s">
        <v>139</v>
      </c>
      <c r="T106" s="43"/>
      <c r="U106" s="43"/>
    </row>
    <row r="107" spans="1:21" ht="31.2">
      <c r="A107" s="42" t="s">
        <v>874</v>
      </c>
      <c r="B107" s="42" t="s">
        <v>131</v>
      </c>
      <c r="C107" s="42" t="s">
        <v>181</v>
      </c>
      <c r="D107" s="42" t="s">
        <v>875</v>
      </c>
      <c r="E107" s="42" t="s">
        <v>876</v>
      </c>
      <c r="F107" s="42">
        <v>2005</v>
      </c>
      <c r="G107" s="42"/>
      <c r="H107" s="42" t="s">
        <v>137</v>
      </c>
      <c r="I107" s="42" t="s">
        <v>137</v>
      </c>
      <c r="J107" s="42">
        <v>2014</v>
      </c>
      <c r="K107" s="117">
        <v>5104</v>
      </c>
      <c r="L107" s="118">
        <v>0.125</v>
      </c>
      <c r="M107" s="119">
        <f t="shared" si="3"/>
        <v>17.662075239107004</v>
      </c>
      <c r="N107" s="269">
        <f t="shared" si="4"/>
        <v>4750.7584952178604</v>
      </c>
      <c r="O107" s="270">
        <f t="shared" si="5"/>
        <v>353.24150478214005</v>
      </c>
      <c r="P107" s="42"/>
      <c r="Q107" s="42"/>
      <c r="R107" s="42" t="s">
        <v>877</v>
      </c>
      <c r="S107" s="42" t="s">
        <v>139</v>
      </c>
      <c r="T107" s="43"/>
      <c r="U107" s="43"/>
    </row>
    <row r="108" spans="1:21" ht="31.2">
      <c r="A108" s="42" t="s">
        <v>874</v>
      </c>
      <c r="B108" s="42" t="s">
        <v>131</v>
      </c>
      <c r="C108" s="42" t="s">
        <v>181</v>
      </c>
      <c r="D108" s="42" t="s">
        <v>878</v>
      </c>
      <c r="E108" s="42" t="s">
        <v>876</v>
      </c>
      <c r="F108" s="42">
        <v>2005</v>
      </c>
      <c r="G108" s="42"/>
      <c r="H108" s="42" t="s">
        <v>137</v>
      </c>
      <c r="I108" s="42" t="s">
        <v>137</v>
      </c>
      <c r="J108" s="42">
        <v>2014</v>
      </c>
      <c r="K108" s="117">
        <v>5104</v>
      </c>
      <c r="L108" s="118">
        <v>0.125</v>
      </c>
      <c r="M108" s="119">
        <f t="shared" si="3"/>
        <v>17.662075239107004</v>
      </c>
      <c r="N108" s="269">
        <f t="shared" si="4"/>
        <v>4750.7584952178604</v>
      </c>
      <c r="O108" s="270">
        <f t="shared" si="5"/>
        <v>353.24150478214005</v>
      </c>
      <c r="P108" s="42"/>
      <c r="Q108" s="42"/>
      <c r="R108" s="42" t="s">
        <v>787</v>
      </c>
      <c r="S108" s="42" t="s">
        <v>139</v>
      </c>
      <c r="T108" s="43"/>
      <c r="U108" s="43"/>
    </row>
    <row r="109" spans="1:21" ht="31.2">
      <c r="A109" s="42" t="s">
        <v>874</v>
      </c>
      <c r="B109" s="42" t="s">
        <v>131</v>
      </c>
      <c r="C109" s="42" t="s">
        <v>181</v>
      </c>
      <c r="D109" s="42" t="s">
        <v>879</v>
      </c>
      <c r="E109" s="42" t="s">
        <v>876</v>
      </c>
      <c r="F109" s="42">
        <v>2005</v>
      </c>
      <c r="G109" s="42"/>
      <c r="H109" s="42" t="s">
        <v>137</v>
      </c>
      <c r="I109" s="42" t="s">
        <v>137</v>
      </c>
      <c r="J109" s="42">
        <v>2014</v>
      </c>
      <c r="K109" s="117">
        <v>5104</v>
      </c>
      <c r="L109" s="118">
        <v>0.125</v>
      </c>
      <c r="M109" s="119">
        <f t="shared" si="3"/>
        <v>17.662075239107004</v>
      </c>
      <c r="N109" s="269">
        <f t="shared" si="4"/>
        <v>4750.7584952178604</v>
      </c>
      <c r="O109" s="270">
        <f t="shared" si="5"/>
        <v>353.24150478214005</v>
      </c>
      <c r="P109" s="42"/>
      <c r="Q109" s="42"/>
      <c r="R109" s="42" t="s">
        <v>810</v>
      </c>
      <c r="S109" s="42" t="s">
        <v>139</v>
      </c>
      <c r="T109" s="43"/>
      <c r="U109" s="43"/>
    </row>
    <row r="110" spans="1:21" ht="31.2">
      <c r="A110" s="42" t="s">
        <v>874</v>
      </c>
      <c r="B110" s="42" t="s">
        <v>131</v>
      </c>
      <c r="C110" s="42" t="s">
        <v>181</v>
      </c>
      <c r="D110" s="42" t="s">
        <v>880</v>
      </c>
      <c r="E110" s="42" t="s">
        <v>876</v>
      </c>
      <c r="F110" s="42">
        <v>2005</v>
      </c>
      <c r="G110" s="42"/>
      <c r="H110" s="42" t="s">
        <v>137</v>
      </c>
      <c r="I110" s="42" t="s">
        <v>137</v>
      </c>
      <c r="J110" s="42">
        <v>2014</v>
      </c>
      <c r="K110" s="117">
        <v>5104</v>
      </c>
      <c r="L110" s="118">
        <v>0.125</v>
      </c>
      <c r="M110" s="119">
        <f t="shared" si="3"/>
        <v>17.662075239107004</v>
      </c>
      <c r="N110" s="269">
        <f t="shared" si="4"/>
        <v>4750.7584952178604</v>
      </c>
      <c r="O110" s="270">
        <f t="shared" si="5"/>
        <v>353.24150478214005</v>
      </c>
      <c r="P110" s="42"/>
      <c r="Q110" s="42"/>
      <c r="R110" s="42" t="s">
        <v>441</v>
      </c>
      <c r="S110" s="42" t="s">
        <v>139</v>
      </c>
      <c r="T110" s="43"/>
      <c r="U110" s="43"/>
    </row>
    <row r="111" spans="1:21" ht="31.2">
      <c r="A111" s="42" t="s">
        <v>874</v>
      </c>
      <c r="B111" s="42" t="s">
        <v>131</v>
      </c>
      <c r="C111" s="42" t="s">
        <v>181</v>
      </c>
      <c r="D111" s="42" t="s">
        <v>881</v>
      </c>
      <c r="E111" s="42" t="s">
        <v>876</v>
      </c>
      <c r="F111" s="42">
        <v>2005</v>
      </c>
      <c r="G111" s="42"/>
      <c r="H111" s="42" t="s">
        <v>137</v>
      </c>
      <c r="I111" s="42" t="s">
        <v>137</v>
      </c>
      <c r="J111" s="42">
        <v>2014</v>
      </c>
      <c r="K111" s="117">
        <v>5104</v>
      </c>
      <c r="L111" s="118">
        <v>0.125</v>
      </c>
      <c r="M111" s="119">
        <f t="shared" si="3"/>
        <v>17.662075239107004</v>
      </c>
      <c r="N111" s="269">
        <f t="shared" si="4"/>
        <v>4750.7584952178604</v>
      </c>
      <c r="O111" s="270">
        <f t="shared" si="5"/>
        <v>353.24150478214005</v>
      </c>
      <c r="P111" s="42"/>
      <c r="Q111" s="42"/>
      <c r="R111" s="42" t="s">
        <v>882</v>
      </c>
      <c r="S111" s="42" t="s">
        <v>139</v>
      </c>
      <c r="T111" s="43"/>
      <c r="U111" s="43"/>
    </row>
    <row r="112" spans="1:21" ht="31.2">
      <c r="A112" s="42" t="s">
        <v>874</v>
      </c>
      <c r="B112" s="42" t="s">
        <v>131</v>
      </c>
      <c r="C112" s="42" t="s">
        <v>181</v>
      </c>
      <c r="D112" s="42" t="s">
        <v>883</v>
      </c>
      <c r="E112" s="42" t="s">
        <v>876</v>
      </c>
      <c r="F112" s="42">
        <v>2005</v>
      </c>
      <c r="G112" s="42"/>
      <c r="H112" s="42" t="s">
        <v>137</v>
      </c>
      <c r="I112" s="42" t="s">
        <v>137</v>
      </c>
      <c r="J112" s="42">
        <v>2014</v>
      </c>
      <c r="K112" s="117">
        <v>5104</v>
      </c>
      <c r="L112" s="118">
        <v>0.125</v>
      </c>
      <c r="M112" s="119">
        <f t="shared" si="3"/>
        <v>17.662075239107004</v>
      </c>
      <c r="N112" s="269">
        <f t="shared" si="4"/>
        <v>4750.7584952178604</v>
      </c>
      <c r="O112" s="270">
        <f t="shared" si="5"/>
        <v>353.24150478214005</v>
      </c>
      <c r="P112" s="42"/>
      <c r="Q112" s="42"/>
      <c r="R112" s="42" t="s">
        <v>333</v>
      </c>
      <c r="S112" s="42" t="s">
        <v>139</v>
      </c>
      <c r="T112" s="43"/>
      <c r="U112" s="43"/>
    </row>
    <row r="113" spans="1:21" ht="31.2">
      <c r="A113" s="42" t="s">
        <v>884</v>
      </c>
      <c r="B113" s="42" t="s">
        <v>131</v>
      </c>
      <c r="C113" s="42" t="s">
        <v>181</v>
      </c>
      <c r="D113" s="42" t="s">
        <v>885</v>
      </c>
      <c r="E113" s="42" t="s">
        <v>886</v>
      </c>
      <c r="F113" s="42">
        <v>2005</v>
      </c>
      <c r="G113" s="42"/>
      <c r="H113" s="42" t="s">
        <v>137</v>
      </c>
      <c r="I113" s="42" t="s">
        <v>137</v>
      </c>
      <c r="J113" s="42">
        <v>2014</v>
      </c>
      <c r="K113" s="117">
        <v>47775</v>
      </c>
      <c r="L113" s="118">
        <v>0.125</v>
      </c>
      <c r="M113" s="119">
        <f t="shared" si="3"/>
        <v>165.32242252122592</v>
      </c>
      <c r="N113" s="269">
        <f t="shared" si="4"/>
        <v>44468.551549575481</v>
      </c>
      <c r="O113" s="270">
        <f t="shared" si="5"/>
        <v>3306.4484504245183</v>
      </c>
      <c r="P113" s="42"/>
      <c r="Q113" s="42"/>
      <c r="R113" s="42" t="s">
        <v>766</v>
      </c>
      <c r="S113" s="42"/>
      <c r="T113" s="43"/>
      <c r="U113" s="43"/>
    </row>
    <row r="114" spans="1:21" ht="31.2">
      <c r="A114" s="42" t="s">
        <v>884</v>
      </c>
      <c r="B114" s="42" t="s">
        <v>131</v>
      </c>
      <c r="C114" s="42" t="s">
        <v>181</v>
      </c>
      <c r="D114" s="42" t="s">
        <v>887</v>
      </c>
      <c r="E114" s="42" t="s">
        <v>888</v>
      </c>
      <c r="F114" s="42">
        <v>2005</v>
      </c>
      <c r="G114" s="42"/>
      <c r="H114" s="42" t="s">
        <v>137</v>
      </c>
      <c r="I114" s="42" t="s">
        <v>137</v>
      </c>
      <c r="J114" s="42">
        <v>2014</v>
      </c>
      <c r="K114" s="117">
        <v>6000</v>
      </c>
      <c r="L114" s="118">
        <v>0.125</v>
      </c>
      <c r="M114" s="119">
        <f t="shared" si="3"/>
        <v>20.762627632179079</v>
      </c>
      <c r="N114" s="269">
        <f t="shared" si="4"/>
        <v>5584.747447356418</v>
      </c>
      <c r="O114" s="270">
        <f t="shared" si="5"/>
        <v>415.25255264358157</v>
      </c>
      <c r="P114" s="42"/>
      <c r="Q114" s="42"/>
      <c r="R114" s="42" t="s">
        <v>766</v>
      </c>
      <c r="S114" s="42"/>
      <c r="T114" s="43"/>
      <c r="U114" s="43"/>
    </row>
    <row r="115" spans="1:21" ht="31.2">
      <c r="A115" s="42" t="s">
        <v>884</v>
      </c>
      <c r="B115" s="42" t="s">
        <v>131</v>
      </c>
      <c r="C115" s="42" t="s">
        <v>181</v>
      </c>
      <c r="D115" s="42" t="s">
        <v>889</v>
      </c>
      <c r="E115" s="42" t="s">
        <v>888</v>
      </c>
      <c r="F115" s="42">
        <v>2005</v>
      </c>
      <c r="G115" s="42"/>
      <c r="H115" s="42" t="s">
        <v>137</v>
      </c>
      <c r="I115" s="42" t="s">
        <v>137</v>
      </c>
      <c r="J115" s="42">
        <v>2014</v>
      </c>
      <c r="K115" s="117">
        <v>6000</v>
      </c>
      <c r="L115" s="118">
        <v>0.125</v>
      </c>
      <c r="M115" s="119">
        <f t="shared" si="3"/>
        <v>20.762627632179079</v>
      </c>
      <c r="N115" s="269">
        <f t="shared" si="4"/>
        <v>5584.747447356418</v>
      </c>
      <c r="O115" s="270">
        <f t="shared" si="5"/>
        <v>415.25255264358157</v>
      </c>
      <c r="P115" s="42"/>
      <c r="Q115" s="42"/>
      <c r="R115" s="42" t="s">
        <v>766</v>
      </c>
      <c r="S115" s="42"/>
      <c r="T115" s="43"/>
      <c r="U115" s="43"/>
    </row>
    <row r="116" spans="1:21" ht="31.2">
      <c r="A116" s="42" t="s">
        <v>884</v>
      </c>
      <c r="B116" s="42" t="s">
        <v>131</v>
      </c>
      <c r="C116" s="42" t="s">
        <v>181</v>
      </c>
      <c r="D116" s="42" t="s">
        <v>890</v>
      </c>
      <c r="E116" s="42" t="s">
        <v>888</v>
      </c>
      <c r="F116" s="42">
        <v>2005</v>
      </c>
      <c r="G116" s="42"/>
      <c r="H116" s="42" t="s">
        <v>137</v>
      </c>
      <c r="I116" s="42" t="s">
        <v>137</v>
      </c>
      <c r="J116" s="42">
        <v>2014</v>
      </c>
      <c r="K116" s="117">
        <v>6000</v>
      </c>
      <c r="L116" s="118">
        <v>0.125</v>
      </c>
      <c r="M116" s="119">
        <f t="shared" si="3"/>
        <v>20.762627632179079</v>
      </c>
      <c r="N116" s="269">
        <f t="shared" si="4"/>
        <v>5584.747447356418</v>
      </c>
      <c r="O116" s="270">
        <f t="shared" si="5"/>
        <v>415.25255264358157</v>
      </c>
      <c r="P116" s="42"/>
      <c r="Q116" s="42"/>
      <c r="R116" s="42" t="s">
        <v>766</v>
      </c>
      <c r="S116" s="42"/>
      <c r="T116" s="43"/>
      <c r="U116" s="43"/>
    </row>
    <row r="117" spans="1:21" ht="31.2">
      <c r="A117" s="42" t="s">
        <v>884</v>
      </c>
      <c r="B117" s="42" t="s">
        <v>131</v>
      </c>
      <c r="C117" s="42" t="s">
        <v>181</v>
      </c>
      <c r="D117" s="42" t="s">
        <v>891</v>
      </c>
      <c r="E117" s="42" t="s">
        <v>888</v>
      </c>
      <c r="F117" s="42">
        <v>2005</v>
      </c>
      <c r="G117" s="42"/>
      <c r="H117" s="42" t="s">
        <v>137</v>
      </c>
      <c r="I117" s="42" t="s">
        <v>137</v>
      </c>
      <c r="J117" s="42">
        <v>2014</v>
      </c>
      <c r="K117" s="117">
        <v>6000</v>
      </c>
      <c r="L117" s="118">
        <v>0.125</v>
      </c>
      <c r="M117" s="119">
        <f t="shared" si="3"/>
        <v>20.762627632179079</v>
      </c>
      <c r="N117" s="269">
        <f t="shared" si="4"/>
        <v>5584.747447356418</v>
      </c>
      <c r="O117" s="270">
        <f t="shared" si="5"/>
        <v>415.25255264358157</v>
      </c>
      <c r="P117" s="42"/>
      <c r="Q117" s="42"/>
      <c r="R117" s="42" t="s">
        <v>766</v>
      </c>
      <c r="S117" s="42"/>
      <c r="T117" s="43"/>
      <c r="U117" s="43"/>
    </row>
    <row r="118" spans="1:21" ht="31.2">
      <c r="A118" s="42" t="s">
        <v>884</v>
      </c>
      <c r="B118" s="42" t="s">
        <v>131</v>
      </c>
      <c r="C118" s="42" t="s">
        <v>181</v>
      </c>
      <c r="D118" s="42" t="s">
        <v>892</v>
      </c>
      <c r="E118" s="42" t="s">
        <v>888</v>
      </c>
      <c r="F118" s="42">
        <v>2005</v>
      </c>
      <c r="G118" s="42"/>
      <c r="H118" s="42" t="s">
        <v>137</v>
      </c>
      <c r="I118" s="42" t="s">
        <v>137</v>
      </c>
      <c r="J118" s="42">
        <v>2014</v>
      </c>
      <c r="K118" s="117">
        <v>6000</v>
      </c>
      <c r="L118" s="118">
        <v>0.125</v>
      </c>
      <c r="M118" s="119">
        <f t="shared" si="3"/>
        <v>20.762627632179079</v>
      </c>
      <c r="N118" s="269">
        <f t="shared" si="4"/>
        <v>5584.747447356418</v>
      </c>
      <c r="O118" s="270">
        <f t="shared" si="5"/>
        <v>415.25255264358157</v>
      </c>
      <c r="P118" s="42"/>
      <c r="Q118" s="42"/>
      <c r="R118" s="42" t="s">
        <v>766</v>
      </c>
      <c r="S118" s="42"/>
      <c r="T118" s="43"/>
      <c r="U118" s="43"/>
    </row>
    <row r="119" spans="1:21" ht="31.2">
      <c r="A119" s="42" t="s">
        <v>884</v>
      </c>
      <c r="B119" s="42" t="s">
        <v>131</v>
      </c>
      <c r="C119" s="42" t="s">
        <v>181</v>
      </c>
      <c r="D119" s="42" t="s">
        <v>893</v>
      </c>
      <c r="E119" s="42" t="s">
        <v>888</v>
      </c>
      <c r="F119" s="42">
        <v>2005</v>
      </c>
      <c r="G119" s="42"/>
      <c r="H119" s="42" t="s">
        <v>137</v>
      </c>
      <c r="I119" s="42" t="s">
        <v>137</v>
      </c>
      <c r="J119" s="42">
        <v>2014</v>
      </c>
      <c r="K119" s="117">
        <v>6000</v>
      </c>
      <c r="L119" s="118">
        <v>0.125</v>
      </c>
      <c r="M119" s="119">
        <f t="shared" si="3"/>
        <v>20.762627632179079</v>
      </c>
      <c r="N119" s="269">
        <f t="shared" si="4"/>
        <v>5584.747447356418</v>
      </c>
      <c r="O119" s="270">
        <f t="shared" si="5"/>
        <v>415.25255264358157</v>
      </c>
      <c r="P119" s="42"/>
      <c r="Q119" s="42"/>
      <c r="R119" s="42" t="s">
        <v>766</v>
      </c>
      <c r="S119" s="42"/>
      <c r="T119" s="43"/>
      <c r="U119" s="43"/>
    </row>
    <row r="120" spans="1:21">
      <c r="A120" s="42" t="s">
        <v>884</v>
      </c>
      <c r="B120" s="42" t="s">
        <v>131</v>
      </c>
      <c r="C120" s="42" t="s">
        <v>181</v>
      </c>
      <c r="D120" s="42" t="s">
        <v>894</v>
      </c>
      <c r="E120" s="42" t="s">
        <v>888</v>
      </c>
      <c r="F120" s="42">
        <v>2005</v>
      </c>
      <c r="G120" s="42"/>
      <c r="H120" s="42" t="s">
        <v>137</v>
      </c>
      <c r="I120" s="42" t="s">
        <v>137</v>
      </c>
      <c r="J120" s="42">
        <v>2014</v>
      </c>
      <c r="K120" s="117">
        <v>6000</v>
      </c>
      <c r="L120" s="118">
        <v>0.125</v>
      </c>
      <c r="M120" s="119">
        <f t="shared" si="3"/>
        <v>20.762627632179079</v>
      </c>
      <c r="N120" s="269">
        <f t="shared" si="4"/>
        <v>5584.747447356418</v>
      </c>
      <c r="O120" s="270">
        <f t="shared" si="5"/>
        <v>415.25255264358157</v>
      </c>
      <c r="P120" s="42"/>
      <c r="Q120" s="42"/>
      <c r="R120" s="42" t="s">
        <v>895</v>
      </c>
      <c r="S120" s="42"/>
      <c r="T120" s="43"/>
      <c r="U120" s="43"/>
    </row>
    <row r="121" spans="1:21" ht="31.2">
      <c r="A121" s="42" t="s">
        <v>884</v>
      </c>
      <c r="B121" s="42" t="s">
        <v>131</v>
      </c>
      <c r="C121" s="42" t="s">
        <v>181</v>
      </c>
      <c r="D121" s="42" t="s">
        <v>896</v>
      </c>
      <c r="E121" s="42" t="s">
        <v>897</v>
      </c>
      <c r="F121" s="42">
        <v>2005</v>
      </c>
      <c r="G121" s="42"/>
      <c r="H121" s="42" t="s">
        <v>137</v>
      </c>
      <c r="I121" s="42" t="s">
        <v>137</v>
      </c>
      <c r="J121" s="42">
        <v>2014</v>
      </c>
      <c r="K121" s="117">
        <v>7275</v>
      </c>
      <c r="L121" s="118">
        <v>0.125</v>
      </c>
      <c r="M121" s="119">
        <f t="shared" si="3"/>
        <v>25.174686004017133</v>
      </c>
      <c r="N121" s="269">
        <f t="shared" si="4"/>
        <v>6771.5062799196576</v>
      </c>
      <c r="O121" s="270">
        <f t="shared" si="5"/>
        <v>503.49372008034265</v>
      </c>
      <c r="P121" s="42"/>
      <c r="Q121" s="42"/>
      <c r="R121" s="42" t="s">
        <v>766</v>
      </c>
      <c r="S121" s="42"/>
      <c r="T121" s="43"/>
      <c r="U121" s="43"/>
    </row>
    <row r="122" spans="1:21" ht="31.2">
      <c r="A122" s="42" t="s">
        <v>884</v>
      </c>
      <c r="B122" s="42" t="s">
        <v>131</v>
      </c>
      <c r="C122" s="42" t="s">
        <v>181</v>
      </c>
      <c r="D122" s="42" t="s">
        <v>898</v>
      </c>
      <c r="E122" s="42" t="s">
        <v>884</v>
      </c>
      <c r="F122" s="280">
        <v>2004</v>
      </c>
      <c r="G122" s="42"/>
      <c r="H122" s="42" t="s">
        <v>137</v>
      </c>
      <c r="I122" s="42" t="s">
        <v>137</v>
      </c>
      <c r="J122" s="42">
        <v>2013</v>
      </c>
      <c r="K122" s="117">
        <v>28768</v>
      </c>
      <c r="L122" s="118">
        <v>0.125</v>
      </c>
      <c r="M122" s="119">
        <f t="shared" ref="M122:M162" si="6">K122*L122</f>
        <v>3596</v>
      </c>
      <c r="N122" s="269">
        <f t="shared" si="4"/>
        <v>27025.877124142626</v>
      </c>
      <c r="O122" s="270">
        <f t="shared" si="5"/>
        <v>1742.1228758573727</v>
      </c>
      <c r="P122" s="42"/>
      <c r="Q122" s="42"/>
      <c r="R122" s="42" t="s">
        <v>199</v>
      </c>
      <c r="S122" s="42"/>
      <c r="T122" s="43"/>
      <c r="U122" s="43"/>
    </row>
    <row r="123" spans="1:21" ht="31.2">
      <c r="A123" s="42" t="s">
        <v>884</v>
      </c>
      <c r="B123" s="42" t="s">
        <v>131</v>
      </c>
      <c r="C123" s="42" t="s">
        <v>181</v>
      </c>
      <c r="D123" s="42" t="s">
        <v>899</v>
      </c>
      <c r="E123" s="42" t="s">
        <v>884</v>
      </c>
      <c r="F123" s="280">
        <v>2004</v>
      </c>
      <c r="G123" s="42"/>
      <c r="H123" s="42" t="s">
        <v>137</v>
      </c>
      <c r="I123" s="42" t="s">
        <v>137</v>
      </c>
      <c r="J123" s="42">
        <v>2013</v>
      </c>
      <c r="K123" s="117">
        <v>28768</v>
      </c>
      <c r="L123" s="118">
        <v>0.125</v>
      </c>
      <c r="M123" s="119">
        <f t="shared" si="6"/>
        <v>3596</v>
      </c>
      <c r="N123" s="269">
        <f t="shared" si="4"/>
        <v>27025.877124142626</v>
      </c>
      <c r="O123" s="270">
        <f t="shared" si="5"/>
        <v>1742.1228758573727</v>
      </c>
      <c r="P123" s="42"/>
      <c r="Q123" s="42"/>
      <c r="R123" s="42" t="s">
        <v>610</v>
      </c>
      <c r="S123" s="42"/>
      <c r="T123" s="43"/>
      <c r="U123" s="43"/>
    </row>
    <row r="124" spans="1:21" ht="31.2">
      <c r="A124" s="42" t="s">
        <v>884</v>
      </c>
      <c r="B124" s="42" t="s">
        <v>131</v>
      </c>
      <c r="C124" s="42" t="s">
        <v>181</v>
      </c>
      <c r="D124" s="42" t="s">
        <v>900</v>
      </c>
      <c r="E124" s="42" t="s">
        <v>884</v>
      </c>
      <c r="F124" s="280">
        <v>2004</v>
      </c>
      <c r="G124" s="42"/>
      <c r="H124" s="42" t="s">
        <v>137</v>
      </c>
      <c r="I124" s="42" t="s">
        <v>137</v>
      </c>
      <c r="J124" s="42">
        <v>2013</v>
      </c>
      <c r="K124" s="117">
        <v>28768</v>
      </c>
      <c r="L124" s="118">
        <v>0.125</v>
      </c>
      <c r="M124" s="119">
        <f t="shared" si="6"/>
        <v>3596</v>
      </c>
      <c r="N124" s="269">
        <f t="shared" si="4"/>
        <v>27025.877124142626</v>
      </c>
      <c r="O124" s="270">
        <f t="shared" si="5"/>
        <v>1742.1228758573727</v>
      </c>
      <c r="P124" s="42"/>
      <c r="Q124" s="42"/>
      <c r="R124" s="42" t="s">
        <v>755</v>
      </c>
      <c r="S124" s="42"/>
      <c r="T124" s="43"/>
      <c r="U124" s="43"/>
    </row>
    <row r="125" spans="1:21" ht="31.2">
      <c r="A125" s="120" t="s">
        <v>901</v>
      </c>
      <c r="B125" s="42" t="s">
        <v>131</v>
      </c>
      <c r="C125" s="42" t="s">
        <v>181</v>
      </c>
      <c r="D125" s="42" t="s">
        <v>902</v>
      </c>
      <c r="E125" s="42" t="s">
        <v>903</v>
      </c>
      <c r="F125" s="280">
        <v>2005</v>
      </c>
      <c r="G125" s="42"/>
      <c r="H125" s="42" t="s">
        <v>137</v>
      </c>
      <c r="I125" s="42" t="s">
        <v>137</v>
      </c>
      <c r="J125" s="42">
        <v>2014</v>
      </c>
      <c r="K125" s="117">
        <v>15624</v>
      </c>
      <c r="L125" s="118">
        <v>0.125</v>
      </c>
      <c r="M125" s="119">
        <f t="shared" si="6"/>
        <v>1953</v>
      </c>
      <c r="N125" s="269">
        <f t="shared" si="4"/>
        <v>14542.682352916114</v>
      </c>
      <c r="O125" s="270">
        <f t="shared" si="5"/>
        <v>1081.3176470838864</v>
      </c>
      <c r="P125" s="42"/>
      <c r="Q125" s="42"/>
      <c r="R125" s="42" t="s">
        <v>229</v>
      </c>
      <c r="S125" s="42"/>
      <c r="T125" s="43"/>
      <c r="U125" s="43"/>
    </row>
    <row r="126" spans="1:21" ht="46.8">
      <c r="A126" s="42" t="s">
        <v>901</v>
      </c>
      <c r="B126" s="42" t="s">
        <v>131</v>
      </c>
      <c r="C126" s="42" t="s">
        <v>181</v>
      </c>
      <c r="D126" s="42" t="s">
        <v>904</v>
      </c>
      <c r="E126" s="42" t="s">
        <v>905</v>
      </c>
      <c r="F126" s="280">
        <v>2005</v>
      </c>
      <c r="G126" s="42"/>
      <c r="H126" s="42" t="s">
        <v>137</v>
      </c>
      <c r="I126" s="42" t="s">
        <v>137</v>
      </c>
      <c r="J126" s="42">
        <v>2014</v>
      </c>
      <c r="K126" s="117">
        <v>22456</v>
      </c>
      <c r="L126" s="118">
        <v>0.125</v>
      </c>
      <c r="M126" s="119">
        <f t="shared" si="6"/>
        <v>2807</v>
      </c>
      <c r="N126" s="269">
        <f t="shared" si="4"/>
        <v>20901.848112972621</v>
      </c>
      <c r="O126" s="270">
        <f t="shared" si="5"/>
        <v>1554.1518870273781</v>
      </c>
      <c r="P126" s="42"/>
      <c r="Q126" s="42"/>
      <c r="R126" s="42" t="s">
        <v>196</v>
      </c>
      <c r="S126" s="42"/>
      <c r="T126" s="43"/>
      <c r="U126" s="43"/>
    </row>
    <row r="127" spans="1:21" ht="46.8">
      <c r="A127" s="42" t="s">
        <v>901</v>
      </c>
      <c r="B127" s="42" t="s">
        <v>131</v>
      </c>
      <c r="C127" s="42" t="s">
        <v>181</v>
      </c>
      <c r="D127" s="42" t="s">
        <v>181</v>
      </c>
      <c r="E127" s="42" t="s">
        <v>906</v>
      </c>
      <c r="F127" s="280">
        <v>2005</v>
      </c>
      <c r="G127" s="42"/>
      <c r="H127" s="42" t="s">
        <v>137</v>
      </c>
      <c r="I127" s="42" t="s">
        <v>137</v>
      </c>
      <c r="J127" s="42">
        <v>2014</v>
      </c>
      <c r="K127" s="117">
        <v>8050</v>
      </c>
      <c r="L127" s="118">
        <v>0.125</v>
      </c>
      <c r="M127" s="119">
        <f t="shared" si="6"/>
        <v>1006.25</v>
      </c>
      <c r="N127" s="269">
        <f t="shared" si="4"/>
        <v>7492.8694918698611</v>
      </c>
      <c r="O127" s="270">
        <f t="shared" si="5"/>
        <v>557.13050813013865</v>
      </c>
      <c r="P127" s="42"/>
      <c r="Q127" s="42"/>
      <c r="R127" s="42"/>
      <c r="S127" s="42"/>
      <c r="T127" s="43"/>
      <c r="U127" s="43"/>
    </row>
    <row r="128" spans="1:21" ht="46.8">
      <c r="A128" s="42" t="s">
        <v>901</v>
      </c>
      <c r="B128" s="42" t="s">
        <v>131</v>
      </c>
      <c r="C128" s="42" t="s">
        <v>181</v>
      </c>
      <c r="D128" s="42" t="s">
        <v>907</v>
      </c>
      <c r="E128" s="42" t="s">
        <v>908</v>
      </c>
      <c r="F128" s="280">
        <v>2005</v>
      </c>
      <c r="G128" s="42"/>
      <c r="H128" s="42" t="s">
        <v>137</v>
      </c>
      <c r="I128" s="42" t="s">
        <v>137</v>
      </c>
      <c r="J128" s="42">
        <v>2014</v>
      </c>
      <c r="K128" s="117">
        <v>19600</v>
      </c>
      <c r="L128" s="118">
        <v>0.125</v>
      </c>
      <c r="M128" s="119">
        <f t="shared" si="6"/>
        <v>2450</v>
      </c>
      <c r="N128" s="269">
        <f t="shared" si="4"/>
        <v>18243.508328030966</v>
      </c>
      <c r="O128" s="270">
        <f t="shared" si="5"/>
        <v>1356.4916719690332</v>
      </c>
      <c r="P128" s="42"/>
      <c r="Q128" s="42"/>
      <c r="R128" s="42" t="s">
        <v>231</v>
      </c>
      <c r="S128" s="42"/>
      <c r="T128" s="43"/>
      <c r="U128" s="43"/>
    </row>
    <row r="129" spans="1:21" ht="46.8">
      <c r="A129" s="42" t="s">
        <v>901</v>
      </c>
      <c r="B129" s="42" t="s">
        <v>131</v>
      </c>
      <c r="C129" s="42" t="s">
        <v>181</v>
      </c>
      <c r="D129" s="42" t="s">
        <v>909</v>
      </c>
      <c r="E129" s="42" t="s">
        <v>908</v>
      </c>
      <c r="F129" s="280">
        <v>2005</v>
      </c>
      <c r="G129" s="42"/>
      <c r="H129" s="42" t="s">
        <v>137</v>
      </c>
      <c r="I129" s="42" t="s">
        <v>137</v>
      </c>
      <c r="J129" s="42">
        <v>2014</v>
      </c>
      <c r="K129" s="117">
        <v>19600</v>
      </c>
      <c r="L129" s="118">
        <v>0.125</v>
      </c>
      <c r="M129" s="119">
        <f t="shared" si="6"/>
        <v>2450</v>
      </c>
      <c r="N129" s="269">
        <f t="shared" si="4"/>
        <v>18243.508328030966</v>
      </c>
      <c r="O129" s="270">
        <f t="shared" si="5"/>
        <v>1356.4916719690332</v>
      </c>
      <c r="P129" s="42"/>
      <c r="Q129" s="42"/>
      <c r="R129" s="42" t="s">
        <v>231</v>
      </c>
      <c r="S129" s="42"/>
      <c r="T129" s="43"/>
      <c r="U129" s="43"/>
    </row>
    <row r="130" spans="1:21" ht="46.8">
      <c r="A130" s="42" t="s">
        <v>901</v>
      </c>
      <c r="B130" s="42"/>
      <c r="C130" s="42"/>
      <c r="D130" s="42" t="s">
        <v>910</v>
      </c>
      <c r="E130" s="42" t="s">
        <v>908</v>
      </c>
      <c r="F130" s="280">
        <v>2005</v>
      </c>
      <c r="G130" s="42"/>
      <c r="H130" s="42" t="s">
        <v>137</v>
      </c>
      <c r="I130" s="42" t="s">
        <v>137</v>
      </c>
      <c r="J130" s="42">
        <v>2014</v>
      </c>
      <c r="K130" s="117">
        <v>19600</v>
      </c>
      <c r="L130" s="118">
        <v>0.125</v>
      </c>
      <c r="M130" s="119">
        <f t="shared" si="6"/>
        <v>2450</v>
      </c>
      <c r="N130" s="269">
        <f t="shared" si="4"/>
        <v>18243.508328030966</v>
      </c>
      <c r="O130" s="270">
        <f t="shared" si="5"/>
        <v>1356.4916719690332</v>
      </c>
      <c r="P130" s="42"/>
      <c r="Q130" s="42"/>
      <c r="R130" s="42" t="s">
        <v>392</v>
      </c>
      <c r="S130" s="42"/>
      <c r="T130" s="43"/>
      <c r="U130" s="43"/>
    </row>
    <row r="131" spans="1:21" ht="46.8">
      <c r="A131" s="42" t="s">
        <v>901</v>
      </c>
      <c r="B131" s="42" t="s">
        <v>131</v>
      </c>
      <c r="C131" s="42" t="s">
        <v>181</v>
      </c>
      <c r="D131" s="42" t="s">
        <v>911</v>
      </c>
      <c r="E131" s="42" t="s">
        <v>908</v>
      </c>
      <c r="F131" s="280">
        <v>2005</v>
      </c>
      <c r="G131" s="42"/>
      <c r="H131" s="42" t="s">
        <v>137</v>
      </c>
      <c r="I131" s="42" t="s">
        <v>137</v>
      </c>
      <c r="J131" s="42">
        <v>2014</v>
      </c>
      <c r="K131" s="117">
        <v>19600</v>
      </c>
      <c r="L131" s="118">
        <v>0.125</v>
      </c>
      <c r="M131" s="119">
        <f t="shared" si="6"/>
        <v>2450</v>
      </c>
      <c r="N131" s="269">
        <f t="shared" ref="N131:N194" si="7">K131-O131</f>
        <v>18243.508328030966</v>
      </c>
      <c r="O131" s="270">
        <f t="shared" ref="O131:O194" si="8">K131*(1-L131)^(2025-F131)</f>
        <v>1356.4916719690332</v>
      </c>
      <c r="P131" s="42"/>
      <c r="Q131" s="42"/>
      <c r="R131" s="42" t="s">
        <v>610</v>
      </c>
      <c r="S131" s="42"/>
      <c r="T131" s="43"/>
      <c r="U131" s="43"/>
    </row>
    <row r="132" spans="1:21" ht="31.2">
      <c r="A132" s="42" t="s">
        <v>901</v>
      </c>
      <c r="B132" s="42" t="s">
        <v>131</v>
      </c>
      <c r="C132" s="42" t="s">
        <v>181</v>
      </c>
      <c r="D132" s="42" t="s">
        <v>912</v>
      </c>
      <c r="E132" s="42" t="s">
        <v>903</v>
      </c>
      <c r="F132" s="280">
        <v>2006</v>
      </c>
      <c r="G132" s="42"/>
      <c r="H132" s="42" t="s">
        <v>137</v>
      </c>
      <c r="I132" s="42" t="s">
        <v>137</v>
      </c>
      <c r="J132" s="42">
        <v>2015</v>
      </c>
      <c r="K132" s="117">
        <v>16800</v>
      </c>
      <c r="L132" s="118">
        <v>0.125</v>
      </c>
      <c r="M132" s="119">
        <f t="shared" si="6"/>
        <v>2100</v>
      </c>
      <c r="N132" s="269">
        <f t="shared" si="7"/>
        <v>15471.191831540538</v>
      </c>
      <c r="O132" s="270">
        <f t="shared" si="8"/>
        <v>1328.8081684594611</v>
      </c>
      <c r="P132" s="42"/>
      <c r="Q132" s="42"/>
      <c r="R132" s="42" t="s">
        <v>610</v>
      </c>
      <c r="S132" s="42"/>
      <c r="T132" s="43"/>
      <c r="U132" s="43"/>
    </row>
    <row r="133" spans="1:21" ht="31.2">
      <c r="A133" s="42" t="s">
        <v>901</v>
      </c>
      <c r="B133" s="42" t="s">
        <v>131</v>
      </c>
      <c r="C133" s="42" t="s">
        <v>181</v>
      </c>
      <c r="D133" s="42" t="s">
        <v>913</v>
      </c>
      <c r="E133" s="42" t="s">
        <v>903</v>
      </c>
      <c r="F133" s="280">
        <v>2006</v>
      </c>
      <c r="G133" s="42"/>
      <c r="H133" s="42" t="s">
        <v>137</v>
      </c>
      <c r="I133" s="42" t="s">
        <v>137</v>
      </c>
      <c r="J133" s="42">
        <v>2015</v>
      </c>
      <c r="K133" s="117">
        <v>16800</v>
      </c>
      <c r="L133" s="118">
        <v>0.125</v>
      </c>
      <c r="M133" s="119">
        <f t="shared" si="6"/>
        <v>2100</v>
      </c>
      <c r="N133" s="269">
        <f t="shared" si="7"/>
        <v>15471.191831540538</v>
      </c>
      <c r="O133" s="270">
        <f t="shared" si="8"/>
        <v>1328.8081684594611</v>
      </c>
      <c r="P133" s="42"/>
      <c r="Q133" s="42"/>
      <c r="R133" s="42" t="s">
        <v>482</v>
      </c>
      <c r="S133" s="42"/>
      <c r="T133" s="43"/>
      <c r="U133" s="43"/>
    </row>
    <row r="134" spans="1:21" ht="31.2">
      <c r="A134" s="42" t="s">
        <v>901</v>
      </c>
      <c r="B134" s="42" t="s">
        <v>131</v>
      </c>
      <c r="C134" s="42" t="s">
        <v>181</v>
      </c>
      <c r="D134" s="42" t="s">
        <v>914</v>
      </c>
      <c r="E134" s="42" t="s">
        <v>903</v>
      </c>
      <c r="F134" s="280">
        <v>2006</v>
      </c>
      <c r="G134" s="42"/>
      <c r="H134" s="42" t="s">
        <v>137</v>
      </c>
      <c r="I134" s="42" t="s">
        <v>137</v>
      </c>
      <c r="J134" s="42">
        <v>2015</v>
      </c>
      <c r="K134" s="117">
        <v>16800</v>
      </c>
      <c r="L134" s="118">
        <v>0.125</v>
      </c>
      <c r="M134" s="119">
        <f t="shared" si="6"/>
        <v>2100</v>
      </c>
      <c r="N134" s="269">
        <f t="shared" si="7"/>
        <v>15471.191831540538</v>
      </c>
      <c r="O134" s="270">
        <f t="shared" si="8"/>
        <v>1328.8081684594611</v>
      </c>
      <c r="P134" s="42"/>
      <c r="Q134" s="42"/>
      <c r="R134" s="42" t="s">
        <v>915</v>
      </c>
      <c r="S134" s="42"/>
      <c r="T134" s="43"/>
      <c r="U134" s="43"/>
    </row>
    <row r="135" spans="1:21" ht="31.2">
      <c r="A135" s="42" t="s">
        <v>901</v>
      </c>
      <c r="B135" s="42" t="s">
        <v>131</v>
      </c>
      <c r="C135" s="42" t="s">
        <v>181</v>
      </c>
      <c r="D135" s="42" t="s">
        <v>916</v>
      </c>
      <c r="E135" s="42" t="s">
        <v>917</v>
      </c>
      <c r="F135" s="280">
        <v>2006</v>
      </c>
      <c r="G135" s="42"/>
      <c r="H135" s="42" t="s">
        <v>137</v>
      </c>
      <c r="I135" s="42" t="s">
        <v>137</v>
      </c>
      <c r="J135" s="42">
        <v>2015</v>
      </c>
      <c r="K135" s="117">
        <v>11200</v>
      </c>
      <c r="L135" s="118">
        <v>0.125</v>
      </c>
      <c r="M135" s="119">
        <f t="shared" si="6"/>
        <v>1400</v>
      </c>
      <c r="N135" s="269">
        <f t="shared" si="7"/>
        <v>10314.127887693692</v>
      </c>
      <c r="O135" s="270">
        <f t="shared" si="8"/>
        <v>885.87211230630749</v>
      </c>
      <c r="P135" s="42"/>
      <c r="Q135" s="42"/>
      <c r="R135" s="42" t="s">
        <v>732</v>
      </c>
      <c r="S135" s="42"/>
      <c r="T135" s="43"/>
      <c r="U135" s="43"/>
    </row>
    <row r="136" spans="1:21" ht="31.2">
      <c r="A136" s="42" t="s">
        <v>901</v>
      </c>
      <c r="B136" s="42" t="s">
        <v>131</v>
      </c>
      <c r="C136" s="42" t="s">
        <v>181</v>
      </c>
      <c r="D136" s="42" t="s">
        <v>918</v>
      </c>
      <c r="E136" s="42" t="s">
        <v>917</v>
      </c>
      <c r="F136" s="280">
        <v>2006</v>
      </c>
      <c r="G136" s="42"/>
      <c r="H136" s="42" t="s">
        <v>137</v>
      </c>
      <c r="I136" s="42" t="s">
        <v>137</v>
      </c>
      <c r="J136" s="42">
        <v>2015</v>
      </c>
      <c r="K136" s="117">
        <v>11200</v>
      </c>
      <c r="L136" s="118">
        <v>0.125</v>
      </c>
      <c r="M136" s="119">
        <f t="shared" si="6"/>
        <v>1400</v>
      </c>
      <c r="N136" s="269">
        <f t="shared" si="7"/>
        <v>10314.127887693692</v>
      </c>
      <c r="O136" s="270">
        <f t="shared" si="8"/>
        <v>885.87211230630749</v>
      </c>
      <c r="P136" s="42"/>
      <c r="Q136" s="42"/>
      <c r="R136" s="42" t="s">
        <v>732</v>
      </c>
      <c r="S136" s="42"/>
      <c r="T136" s="43"/>
      <c r="U136" s="43"/>
    </row>
    <row r="137" spans="1:21" ht="31.2">
      <c r="A137" s="42" t="s">
        <v>901</v>
      </c>
      <c r="B137" s="42"/>
      <c r="C137" s="42"/>
      <c r="D137" s="42" t="s">
        <v>919</v>
      </c>
      <c r="E137" s="42" t="s">
        <v>917</v>
      </c>
      <c r="F137" s="280">
        <v>2006</v>
      </c>
      <c r="G137" s="42"/>
      <c r="H137" s="42" t="s">
        <v>137</v>
      </c>
      <c r="I137" s="42" t="s">
        <v>137</v>
      </c>
      <c r="J137" s="42">
        <v>2015</v>
      </c>
      <c r="K137" s="117">
        <v>11200</v>
      </c>
      <c r="L137" s="118">
        <v>0.125</v>
      </c>
      <c r="M137" s="119">
        <f t="shared" si="6"/>
        <v>1400</v>
      </c>
      <c r="N137" s="269">
        <f t="shared" si="7"/>
        <v>10314.127887693692</v>
      </c>
      <c r="O137" s="270">
        <f t="shared" si="8"/>
        <v>885.87211230630749</v>
      </c>
      <c r="P137" s="42"/>
      <c r="Q137" s="42"/>
      <c r="R137" s="42" t="s">
        <v>273</v>
      </c>
      <c r="S137" s="42"/>
      <c r="T137" s="43"/>
      <c r="U137" s="43"/>
    </row>
    <row r="138" spans="1:21" ht="46.8">
      <c r="A138" s="42" t="s">
        <v>901</v>
      </c>
      <c r="B138" s="42" t="s">
        <v>131</v>
      </c>
      <c r="C138" s="42"/>
      <c r="D138" s="42" t="s">
        <v>224</v>
      </c>
      <c r="E138" s="42" t="s">
        <v>920</v>
      </c>
      <c r="F138" s="280">
        <v>2006</v>
      </c>
      <c r="G138" s="42"/>
      <c r="H138" s="42" t="s">
        <v>137</v>
      </c>
      <c r="I138" s="42" t="s">
        <v>137</v>
      </c>
      <c r="J138" s="42">
        <v>2015</v>
      </c>
      <c r="K138" s="117">
        <v>11200</v>
      </c>
      <c r="L138" s="118">
        <v>0.125</v>
      </c>
      <c r="M138" s="119">
        <f t="shared" si="6"/>
        <v>1400</v>
      </c>
      <c r="N138" s="269">
        <f t="shared" si="7"/>
        <v>10314.127887693692</v>
      </c>
      <c r="O138" s="270">
        <f t="shared" si="8"/>
        <v>885.87211230630749</v>
      </c>
      <c r="P138" s="42"/>
      <c r="Q138" s="42"/>
      <c r="R138" s="42" t="s">
        <v>301</v>
      </c>
      <c r="S138" s="42"/>
      <c r="T138" s="43"/>
      <c r="U138" s="43"/>
    </row>
    <row r="139" spans="1:21" ht="31.2">
      <c r="A139" s="42" t="s">
        <v>901</v>
      </c>
      <c r="B139" s="42" t="s">
        <v>131</v>
      </c>
      <c r="C139" s="42" t="s">
        <v>181</v>
      </c>
      <c r="D139" s="42" t="s">
        <v>921</v>
      </c>
      <c r="E139" s="42" t="s">
        <v>922</v>
      </c>
      <c r="F139" s="280">
        <v>2006</v>
      </c>
      <c r="G139" s="42"/>
      <c r="H139" s="42" t="s">
        <v>137</v>
      </c>
      <c r="I139" s="42" t="s">
        <v>137</v>
      </c>
      <c r="J139" s="42">
        <v>2016</v>
      </c>
      <c r="K139" s="117">
        <v>3240</v>
      </c>
      <c r="L139" s="118">
        <v>0.125</v>
      </c>
      <c r="M139" s="119">
        <f t="shared" si="6"/>
        <v>405</v>
      </c>
      <c r="N139" s="269">
        <f t="shared" si="7"/>
        <v>2983.7298532256755</v>
      </c>
      <c r="O139" s="270">
        <f t="shared" si="8"/>
        <v>256.27014677432464</v>
      </c>
      <c r="P139" s="42"/>
      <c r="Q139" s="42"/>
      <c r="R139" s="42" t="s">
        <v>193</v>
      </c>
      <c r="S139" s="42"/>
      <c r="T139" s="43"/>
      <c r="U139" s="43"/>
    </row>
    <row r="140" spans="1:21" ht="31.2">
      <c r="A140" s="42" t="s">
        <v>901</v>
      </c>
      <c r="B140" s="42" t="s">
        <v>131</v>
      </c>
      <c r="C140" s="42" t="s">
        <v>181</v>
      </c>
      <c r="D140" s="42" t="s">
        <v>923</v>
      </c>
      <c r="E140" s="42" t="s">
        <v>922</v>
      </c>
      <c r="F140" s="280">
        <v>2006</v>
      </c>
      <c r="G140" s="42"/>
      <c r="H140" s="42" t="s">
        <v>137</v>
      </c>
      <c r="I140" s="42" t="s">
        <v>137</v>
      </c>
      <c r="J140" s="42">
        <v>2016</v>
      </c>
      <c r="K140" s="117">
        <v>3240</v>
      </c>
      <c r="L140" s="118">
        <v>0.125</v>
      </c>
      <c r="M140" s="119">
        <f t="shared" si="6"/>
        <v>405</v>
      </c>
      <c r="N140" s="269">
        <f t="shared" si="7"/>
        <v>2983.7298532256755</v>
      </c>
      <c r="O140" s="270">
        <f t="shared" si="8"/>
        <v>256.27014677432464</v>
      </c>
      <c r="P140" s="42"/>
      <c r="Q140" s="42"/>
      <c r="R140" s="42" t="s">
        <v>196</v>
      </c>
      <c r="S140" s="42"/>
      <c r="T140" s="43"/>
      <c r="U140" s="43"/>
    </row>
    <row r="141" spans="1:21" ht="31.2">
      <c r="A141" s="42" t="s">
        <v>901</v>
      </c>
      <c r="B141" s="42" t="s">
        <v>131</v>
      </c>
      <c r="C141" s="42" t="s">
        <v>181</v>
      </c>
      <c r="D141" s="42" t="s">
        <v>924</v>
      </c>
      <c r="E141" s="42" t="s">
        <v>925</v>
      </c>
      <c r="F141" s="280">
        <v>2006</v>
      </c>
      <c r="G141" s="42"/>
      <c r="H141" s="42" t="s">
        <v>137</v>
      </c>
      <c r="I141" s="42" t="s">
        <v>137</v>
      </c>
      <c r="J141" s="42">
        <v>2016</v>
      </c>
      <c r="K141" s="117">
        <v>11700</v>
      </c>
      <c r="L141" s="118">
        <v>0.125</v>
      </c>
      <c r="M141" s="119">
        <f t="shared" si="6"/>
        <v>1462.5</v>
      </c>
      <c r="N141" s="269">
        <f t="shared" si="7"/>
        <v>10774.580025537161</v>
      </c>
      <c r="O141" s="270">
        <f t="shared" si="8"/>
        <v>925.41997446283904</v>
      </c>
      <c r="P141" s="42"/>
      <c r="Q141" s="42"/>
      <c r="R141" s="42" t="s">
        <v>799</v>
      </c>
      <c r="S141" s="42"/>
      <c r="T141" s="43"/>
      <c r="U141" s="43"/>
    </row>
    <row r="142" spans="1:21" ht="31.2">
      <c r="A142" s="42" t="s">
        <v>901</v>
      </c>
      <c r="B142" s="42" t="s">
        <v>131</v>
      </c>
      <c r="C142" s="42" t="s">
        <v>181</v>
      </c>
      <c r="D142" s="42" t="s">
        <v>926</v>
      </c>
      <c r="E142" s="42" t="s">
        <v>925</v>
      </c>
      <c r="F142" s="280">
        <v>2006</v>
      </c>
      <c r="G142" s="42"/>
      <c r="H142" s="42" t="s">
        <v>137</v>
      </c>
      <c r="I142" s="42" t="s">
        <v>137</v>
      </c>
      <c r="J142" s="42">
        <v>2016</v>
      </c>
      <c r="K142" s="117">
        <v>11700</v>
      </c>
      <c r="L142" s="118">
        <v>0.125</v>
      </c>
      <c r="M142" s="119">
        <f t="shared" si="6"/>
        <v>1462.5</v>
      </c>
      <c r="N142" s="269">
        <f t="shared" si="7"/>
        <v>10774.580025537161</v>
      </c>
      <c r="O142" s="270">
        <f t="shared" si="8"/>
        <v>925.41997446283904</v>
      </c>
      <c r="P142" s="42"/>
      <c r="Q142" s="42"/>
      <c r="R142" s="42" t="s">
        <v>799</v>
      </c>
      <c r="S142" s="42"/>
      <c r="T142" s="43"/>
      <c r="U142" s="43"/>
    </row>
    <row r="143" spans="1:21" ht="31.2">
      <c r="A143" s="42" t="s">
        <v>901</v>
      </c>
      <c r="B143" s="42" t="s">
        <v>131</v>
      </c>
      <c r="C143" s="42" t="s">
        <v>181</v>
      </c>
      <c r="D143" s="42" t="s">
        <v>927</v>
      </c>
      <c r="E143" s="42" t="s">
        <v>925</v>
      </c>
      <c r="F143" s="280">
        <v>2006</v>
      </c>
      <c r="G143" s="42"/>
      <c r="H143" s="42" t="s">
        <v>137</v>
      </c>
      <c r="I143" s="42" t="s">
        <v>137</v>
      </c>
      <c r="J143" s="42">
        <v>2016</v>
      </c>
      <c r="K143" s="117">
        <v>11700</v>
      </c>
      <c r="L143" s="118">
        <v>0.125</v>
      </c>
      <c r="M143" s="119">
        <f t="shared" si="6"/>
        <v>1462.5</v>
      </c>
      <c r="N143" s="269">
        <f t="shared" si="7"/>
        <v>10774.580025537161</v>
      </c>
      <c r="O143" s="270">
        <f t="shared" si="8"/>
        <v>925.41997446283904</v>
      </c>
      <c r="P143" s="42"/>
      <c r="Q143" s="42"/>
      <c r="R143" s="42" t="s">
        <v>799</v>
      </c>
      <c r="S143" s="42"/>
      <c r="T143" s="43"/>
      <c r="U143" s="43"/>
    </row>
    <row r="144" spans="1:21" ht="31.2">
      <c r="A144" s="42" t="s">
        <v>901</v>
      </c>
      <c r="B144" s="42" t="s">
        <v>131</v>
      </c>
      <c r="C144" s="42" t="s">
        <v>181</v>
      </c>
      <c r="D144" s="42" t="s">
        <v>928</v>
      </c>
      <c r="E144" s="42" t="s">
        <v>925</v>
      </c>
      <c r="F144" s="280">
        <v>2006</v>
      </c>
      <c r="G144" s="42"/>
      <c r="H144" s="42" t="s">
        <v>137</v>
      </c>
      <c r="I144" s="42" t="s">
        <v>137</v>
      </c>
      <c r="J144" s="42">
        <v>2016</v>
      </c>
      <c r="K144" s="117">
        <v>11700</v>
      </c>
      <c r="L144" s="118">
        <v>0.125</v>
      </c>
      <c r="M144" s="119">
        <f t="shared" si="6"/>
        <v>1462.5</v>
      </c>
      <c r="N144" s="269">
        <f t="shared" si="7"/>
        <v>10774.580025537161</v>
      </c>
      <c r="O144" s="270">
        <f t="shared" si="8"/>
        <v>925.41997446283904</v>
      </c>
      <c r="P144" s="42"/>
      <c r="Q144" s="42"/>
      <c r="R144" s="42" t="s">
        <v>799</v>
      </c>
      <c r="S144" s="42"/>
      <c r="T144" s="43"/>
      <c r="U144" s="43"/>
    </row>
    <row r="145" spans="1:21" ht="31.2">
      <c r="A145" s="42" t="s">
        <v>901</v>
      </c>
      <c r="B145" s="42" t="s">
        <v>131</v>
      </c>
      <c r="C145" s="42" t="s">
        <v>181</v>
      </c>
      <c r="D145" s="42" t="s">
        <v>929</v>
      </c>
      <c r="E145" s="42" t="s">
        <v>925</v>
      </c>
      <c r="F145" s="280">
        <v>2006</v>
      </c>
      <c r="G145" s="42"/>
      <c r="H145" s="42" t="s">
        <v>137</v>
      </c>
      <c r="I145" s="42" t="s">
        <v>137</v>
      </c>
      <c r="J145" s="42">
        <v>2016</v>
      </c>
      <c r="K145" s="117">
        <v>11700</v>
      </c>
      <c r="L145" s="118">
        <v>0.125</v>
      </c>
      <c r="M145" s="119">
        <f t="shared" si="6"/>
        <v>1462.5</v>
      </c>
      <c r="N145" s="269">
        <f t="shared" si="7"/>
        <v>10774.580025537161</v>
      </c>
      <c r="O145" s="270">
        <f t="shared" si="8"/>
        <v>925.41997446283904</v>
      </c>
      <c r="P145" s="42"/>
      <c r="Q145" s="42"/>
      <c r="R145" s="42" t="s">
        <v>799</v>
      </c>
      <c r="S145" s="42"/>
      <c r="T145" s="43"/>
      <c r="U145" s="43"/>
    </row>
    <row r="146" spans="1:21" ht="46.8">
      <c r="A146" s="42" t="s">
        <v>901</v>
      </c>
      <c r="B146" s="42" t="s">
        <v>131</v>
      </c>
      <c r="C146" s="42" t="s">
        <v>181</v>
      </c>
      <c r="D146" s="42" t="s">
        <v>930</v>
      </c>
      <c r="E146" s="42" t="s">
        <v>931</v>
      </c>
      <c r="F146" s="280">
        <v>2006</v>
      </c>
      <c r="G146" s="42"/>
      <c r="H146" s="42" t="s">
        <v>137</v>
      </c>
      <c r="I146" s="42" t="s">
        <v>137</v>
      </c>
      <c r="J146" s="42">
        <v>2016</v>
      </c>
      <c r="K146" s="117">
        <v>4680</v>
      </c>
      <c r="L146" s="118">
        <v>0.125</v>
      </c>
      <c r="M146" s="119">
        <f t="shared" si="6"/>
        <v>585</v>
      </c>
      <c r="N146" s="269">
        <f t="shared" si="7"/>
        <v>4309.8320102148646</v>
      </c>
      <c r="O146" s="270">
        <f t="shared" si="8"/>
        <v>370.1679897851356</v>
      </c>
      <c r="P146" s="42"/>
      <c r="Q146" s="42"/>
      <c r="R146" s="42" t="s">
        <v>276</v>
      </c>
      <c r="S146" s="42"/>
      <c r="T146" s="43"/>
      <c r="U146" s="43"/>
    </row>
    <row r="147" spans="1:21" ht="46.8">
      <c r="A147" s="42" t="s">
        <v>901</v>
      </c>
      <c r="B147" s="42" t="s">
        <v>131</v>
      </c>
      <c r="C147" s="42" t="s">
        <v>181</v>
      </c>
      <c r="D147" s="42" t="s">
        <v>932</v>
      </c>
      <c r="E147" s="42" t="s">
        <v>931</v>
      </c>
      <c r="F147" s="280">
        <v>2006</v>
      </c>
      <c r="G147" s="42"/>
      <c r="H147" s="42" t="s">
        <v>137</v>
      </c>
      <c r="I147" s="42" t="s">
        <v>137</v>
      </c>
      <c r="J147" s="42">
        <v>2016</v>
      </c>
      <c r="K147" s="117">
        <v>4680</v>
      </c>
      <c r="L147" s="118">
        <v>0.125</v>
      </c>
      <c r="M147" s="119">
        <f t="shared" si="6"/>
        <v>585</v>
      </c>
      <c r="N147" s="269">
        <f t="shared" si="7"/>
        <v>4309.8320102148646</v>
      </c>
      <c r="O147" s="270">
        <f t="shared" si="8"/>
        <v>370.1679897851356</v>
      </c>
      <c r="P147" s="42"/>
      <c r="Q147" s="42"/>
      <c r="R147" s="42" t="s">
        <v>276</v>
      </c>
      <c r="S147" s="42"/>
      <c r="T147" s="43"/>
      <c r="U147" s="43"/>
    </row>
    <row r="148" spans="1:21" ht="31.2">
      <c r="A148" s="42" t="s">
        <v>901</v>
      </c>
      <c r="B148" s="42" t="s">
        <v>131</v>
      </c>
      <c r="C148" s="42" t="s">
        <v>181</v>
      </c>
      <c r="D148" s="42" t="s">
        <v>933</v>
      </c>
      <c r="E148" s="42" t="s">
        <v>934</v>
      </c>
      <c r="F148" s="280">
        <v>2006</v>
      </c>
      <c r="G148" s="42"/>
      <c r="H148" s="42" t="s">
        <v>137</v>
      </c>
      <c r="I148" s="42" t="s">
        <v>137</v>
      </c>
      <c r="J148" s="42">
        <v>2016</v>
      </c>
      <c r="K148" s="117">
        <v>10740</v>
      </c>
      <c r="L148" s="118">
        <v>0.125</v>
      </c>
      <c r="M148" s="119">
        <f t="shared" si="6"/>
        <v>1342.5</v>
      </c>
      <c r="N148" s="269">
        <f t="shared" si="7"/>
        <v>9890.5119208777014</v>
      </c>
      <c r="O148" s="270">
        <f t="shared" si="8"/>
        <v>849.48807912229836</v>
      </c>
      <c r="P148" s="42"/>
      <c r="Q148" s="42"/>
      <c r="R148" s="42" t="s">
        <v>402</v>
      </c>
      <c r="S148" s="42"/>
      <c r="T148" s="43"/>
      <c r="U148" s="43"/>
    </row>
    <row r="149" spans="1:21" ht="46.8">
      <c r="A149" s="120" t="s">
        <v>901</v>
      </c>
      <c r="B149" s="42"/>
      <c r="C149" s="42" t="s">
        <v>181</v>
      </c>
      <c r="D149" s="42" t="s">
        <v>935</v>
      </c>
      <c r="E149" s="42" t="s">
        <v>936</v>
      </c>
      <c r="F149" s="280">
        <v>2006</v>
      </c>
      <c r="G149" s="42"/>
      <c r="H149" s="42" t="s">
        <v>137</v>
      </c>
      <c r="I149" s="42" t="s">
        <v>137</v>
      </c>
      <c r="J149" s="42">
        <v>2016</v>
      </c>
      <c r="K149" s="117">
        <v>11700</v>
      </c>
      <c r="L149" s="118">
        <v>0.125</v>
      </c>
      <c r="M149" s="119">
        <f t="shared" si="6"/>
        <v>1462.5</v>
      </c>
      <c r="N149" s="269">
        <f t="shared" si="7"/>
        <v>10774.580025537161</v>
      </c>
      <c r="O149" s="270">
        <f t="shared" si="8"/>
        <v>925.41997446283904</v>
      </c>
      <c r="P149" s="42"/>
      <c r="Q149" s="42"/>
      <c r="R149" s="42" t="s">
        <v>766</v>
      </c>
      <c r="S149" s="42"/>
      <c r="T149" s="43"/>
      <c r="U149" s="43"/>
    </row>
    <row r="150" spans="1:21" ht="46.8">
      <c r="A150" s="120" t="s">
        <v>901</v>
      </c>
      <c r="B150" s="42" t="s">
        <v>131</v>
      </c>
      <c r="C150" s="42" t="s">
        <v>181</v>
      </c>
      <c r="D150" s="42" t="s">
        <v>937</v>
      </c>
      <c r="E150" s="42" t="s">
        <v>936</v>
      </c>
      <c r="F150" s="280">
        <v>2006</v>
      </c>
      <c r="G150" s="42"/>
      <c r="H150" s="42" t="s">
        <v>137</v>
      </c>
      <c r="I150" s="42" t="s">
        <v>137</v>
      </c>
      <c r="J150" s="42">
        <v>2016</v>
      </c>
      <c r="K150" s="117">
        <v>11700</v>
      </c>
      <c r="L150" s="118">
        <v>0.125</v>
      </c>
      <c r="M150" s="119">
        <f t="shared" si="6"/>
        <v>1462.5</v>
      </c>
      <c r="N150" s="269">
        <f t="shared" si="7"/>
        <v>10774.580025537161</v>
      </c>
      <c r="O150" s="270">
        <f t="shared" si="8"/>
        <v>925.41997446283904</v>
      </c>
      <c r="P150" s="42"/>
      <c r="Q150" s="42"/>
      <c r="R150" s="42" t="s">
        <v>469</v>
      </c>
      <c r="S150" s="42"/>
      <c r="T150" s="43"/>
      <c r="U150" s="43"/>
    </row>
    <row r="151" spans="1:21" ht="46.8">
      <c r="A151" s="120" t="s">
        <v>901</v>
      </c>
      <c r="B151" s="42" t="s">
        <v>131</v>
      </c>
      <c r="C151" s="42" t="s">
        <v>181</v>
      </c>
      <c r="D151" s="42" t="s">
        <v>938</v>
      </c>
      <c r="E151" s="42" t="s">
        <v>936</v>
      </c>
      <c r="F151" s="280">
        <v>2006</v>
      </c>
      <c r="G151" s="42"/>
      <c r="H151" s="42" t="s">
        <v>137</v>
      </c>
      <c r="I151" s="42" t="s">
        <v>137</v>
      </c>
      <c r="J151" s="42">
        <v>2016</v>
      </c>
      <c r="K151" s="117">
        <v>11700</v>
      </c>
      <c r="L151" s="118">
        <v>0.125</v>
      </c>
      <c r="M151" s="119">
        <f t="shared" si="6"/>
        <v>1462.5</v>
      </c>
      <c r="N151" s="269">
        <f t="shared" si="7"/>
        <v>10774.580025537161</v>
      </c>
      <c r="O151" s="270">
        <f t="shared" si="8"/>
        <v>925.41997446283904</v>
      </c>
      <c r="P151" s="42"/>
      <c r="Q151" s="42"/>
      <c r="R151" s="42" t="s">
        <v>677</v>
      </c>
      <c r="S151" s="42"/>
      <c r="T151" s="43"/>
      <c r="U151" s="43"/>
    </row>
    <row r="152" spans="1:21" ht="31.2">
      <c r="A152" s="120" t="s">
        <v>901</v>
      </c>
      <c r="B152" s="42" t="s">
        <v>131</v>
      </c>
      <c r="C152" s="42" t="s">
        <v>181</v>
      </c>
      <c r="D152" s="42" t="s">
        <v>939</v>
      </c>
      <c r="E152" s="42" t="s">
        <v>940</v>
      </c>
      <c r="F152" s="280">
        <v>2006</v>
      </c>
      <c r="G152" s="42"/>
      <c r="H152" s="42" t="s">
        <v>137</v>
      </c>
      <c r="I152" s="42" t="s">
        <v>137</v>
      </c>
      <c r="J152" s="42">
        <v>2016</v>
      </c>
      <c r="K152" s="117">
        <v>11700</v>
      </c>
      <c r="L152" s="118">
        <v>0.125</v>
      </c>
      <c r="M152" s="119">
        <f t="shared" si="6"/>
        <v>1462.5</v>
      </c>
      <c r="N152" s="269">
        <f t="shared" si="7"/>
        <v>10774.580025537161</v>
      </c>
      <c r="O152" s="270">
        <f t="shared" si="8"/>
        <v>925.41997446283904</v>
      </c>
      <c r="P152" s="42"/>
      <c r="Q152" s="42"/>
      <c r="R152" s="42" t="s">
        <v>941</v>
      </c>
      <c r="S152" s="42"/>
      <c r="T152" s="43"/>
      <c r="U152" s="43"/>
    </row>
    <row r="153" spans="1:21" ht="46.8">
      <c r="A153" s="120" t="s">
        <v>901</v>
      </c>
      <c r="B153" s="42" t="s">
        <v>131</v>
      </c>
      <c r="C153" s="42"/>
      <c r="D153" s="42" t="s">
        <v>181</v>
      </c>
      <c r="E153" s="42" t="s">
        <v>942</v>
      </c>
      <c r="F153" s="280">
        <v>2006</v>
      </c>
      <c r="G153" s="42"/>
      <c r="H153" s="42" t="s">
        <v>137</v>
      </c>
      <c r="I153" s="42" t="s">
        <v>137</v>
      </c>
      <c r="J153" s="42">
        <v>2016</v>
      </c>
      <c r="K153" s="117">
        <v>14040</v>
      </c>
      <c r="L153" s="118">
        <v>0.125</v>
      </c>
      <c r="M153" s="119">
        <f t="shared" si="6"/>
        <v>1755</v>
      </c>
      <c r="N153" s="269">
        <f t="shared" si="7"/>
        <v>12929.496030644594</v>
      </c>
      <c r="O153" s="270">
        <f t="shared" si="8"/>
        <v>1110.5039693554068</v>
      </c>
      <c r="P153" s="42"/>
      <c r="Q153" s="42"/>
      <c r="R153" s="42" t="s">
        <v>276</v>
      </c>
      <c r="S153" s="42"/>
      <c r="T153" s="43"/>
      <c r="U153" s="43"/>
    </row>
    <row r="154" spans="1:21" ht="31.2">
      <c r="A154" s="42" t="s">
        <v>943</v>
      </c>
      <c r="B154" s="42" t="s">
        <v>131</v>
      </c>
      <c r="C154" s="42" t="s">
        <v>181</v>
      </c>
      <c r="D154" s="42" t="s">
        <v>944</v>
      </c>
      <c r="E154" s="42" t="s">
        <v>945</v>
      </c>
      <c r="F154" s="280">
        <v>2006</v>
      </c>
      <c r="G154" s="42" t="s">
        <v>181</v>
      </c>
      <c r="H154" s="42" t="s">
        <v>137</v>
      </c>
      <c r="I154" s="42" t="s">
        <v>137</v>
      </c>
      <c r="J154" s="42">
        <v>2014</v>
      </c>
      <c r="K154" s="117">
        <v>10850</v>
      </c>
      <c r="L154" s="118">
        <v>0.125</v>
      </c>
      <c r="M154" s="119">
        <f t="shared" si="6"/>
        <v>1356.25</v>
      </c>
      <c r="N154" s="269">
        <f t="shared" si="7"/>
        <v>9991.8113912032641</v>
      </c>
      <c r="O154" s="270">
        <f t="shared" si="8"/>
        <v>858.18860879673537</v>
      </c>
      <c r="P154" s="42"/>
      <c r="Q154" s="42"/>
      <c r="R154" s="42" t="s">
        <v>363</v>
      </c>
      <c r="S154" s="42" t="s">
        <v>139</v>
      </c>
      <c r="T154" s="43"/>
      <c r="U154" s="43"/>
    </row>
    <row r="155" spans="1:21" ht="31.2">
      <c r="A155" s="42" t="s">
        <v>943</v>
      </c>
      <c r="B155" s="42" t="s">
        <v>131</v>
      </c>
      <c r="C155" s="42" t="s">
        <v>181</v>
      </c>
      <c r="D155" s="42" t="s">
        <v>946</v>
      </c>
      <c r="E155" s="42" t="s">
        <v>947</v>
      </c>
      <c r="F155" s="280">
        <v>2006</v>
      </c>
      <c r="G155" s="42" t="s">
        <v>181</v>
      </c>
      <c r="H155" s="42" t="s">
        <v>137</v>
      </c>
      <c r="I155" s="42" t="s">
        <v>137</v>
      </c>
      <c r="J155" s="42">
        <v>2014</v>
      </c>
      <c r="K155" s="117">
        <v>10850</v>
      </c>
      <c r="L155" s="118">
        <v>0.125</v>
      </c>
      <c r="M155" s="119">
        <f t="shared" si="6"/>
        <v>1356.25</v>
      </c>
      <c r="N155" s="269">
        <f t="shared" si="7"/>
        <v>9991.8113912032641</v>
      </c>
      <c r="O155" s="270">
        <f t="shared" si="8"/>
        <v>858.18860879673537</v>
      </c>
      <c r="P155" s="42"/>
      <c r="Q155" s="42"/>
      <c r="R155" s="42" t="s">
        <v>214</v>
      </c>
      <c r="S155" s="42" t="s">
        <v>139</v>
      </c>
      <c r="T155" s="43"/>
      <c r="U155" s="43"/>
    </row>
    <row r="156" spans="1:21" ht="31.2">
      <c r="A156" s="42" t="s">
        <v>943</v>
      </c>
      <c r="B156" s="42" t="s">
        <v>131</v>
      </c>
      <c r="C156" s="42" t="s">
        <v>181</v>
      </c>
      <c r="D156" s="42" t="s">
        <v>948</v>
      </c>
      <c r="E156" s="42" t="s">
        <v>945</v>
      </c>
      <c r="F156" s="280">
        <v>2006</v>
      </c>
      <c r="G156" s="42" t="s">
        <v>181</v>
      </c>
      <c r="H156" s="42" t="s">
        <v>137</v>
      </c>
      <c r="I156" s="42" t="s">
        <v>137</v>
      </c>
      <c r="J156" s="42">
        <v>2014</v>
      </c>
      <c r="K156" s="117">
        <v>10850</v>
      </c>
      <c r="L156" s="118">
        <v>0.125</v>
      </c>
      <c r="M156" s="119">
        <f t="shared" si="6"/>
        <v>1356.25</v>
      </c>
      <c r="N156" s="269">
        <f t="shared" si="7"/>
        <v>9991.8113912032641</v>
      </c>
      <c r="O156" s="270">
        <f t="shared" si="8"/>
        <v>858.18860879673537</v>
      </c>
      <c r="P156" s="42"/>
      <c r="Q156" s="42"/>
      <c r="R156" s="42" t="s">
        <v>237</v>
      </c>
      <c r="S156" s="42" t="s">
        <v>139</v>
      </c>
      <c r="T156" s="43"/>
      <c r="U156" s="43"/>
    </row>
    <row r="157" spans="1:21" ht="31.2">
      <c r="A157" s="42" t="s">
        <v>943</v>
      </c>
      <c r="B157" s="42" t="s">
        <v>131</v>
      </c>
      <c r="C157" s="42"/>
      <c r="D157" s="42" t="s">
        <v>777</v>
      </c>
      <c r="E157" s="42" t="s">
        <v>945</v>
      </c>
      <c r="F157" s="280">
        <v>2006</v>
      </c>
      <c r="G157" s="42"/>
      <c r="H157" s="42" t="s">
        <v>137</v>
      </c>
      <c r="I157" s="42" t="s">
        <v>137</v>
      </c>
      <c r="J157" s="42">
        <v>2029</v>
      </c>
      <c r="K157" s="117">
        <v>62900</v>
      </c>
      <c r="L157" s="118">
        <v>0.125</v>
      </c>
      <c r="M157" s="119">
        <f t="shared" si="6"/>
        <v>7862.5</v>
      </c>
      <c r="N157" s="269">
        <f t="shared" si="7"/>
        <v>57924.878940708324</v>
      </c>
      <c r="O157" s="270">
        <f t="shared" si="8"/>
        <v>4975.1210592916732</v>
      </c>
      <c r="P157" s="42"/>
      <c r="Q157" s="42"/>
      <c r="R157" s="42" t="s">
        <v>778</v>
      </c>
      <c r="S157" s="42" t="s">
        <v>139</v>
      </c>
      <c r="T157" s="43"/>
      <c r="U157" s="43"/>
    </row>
    <row r="158" spans="1:21" ht="31.2">
      <c r="A158" s="42" t="s">
        <v>719</v>
      </c>
      <c r="B158" s="42" t="s">
        <v>131</v>
      </c>
      <c r="C158" s="42"/>
      <c r="D158" s="42" t="s">
        <v>949</v>
      </c>
      <c r="E158" s="42" t="s">
        <v>945</v>
      </c>
      <c r="F158" s="280">
        <v>2006</v>
      </c>
      <c r="G158" s="42"/>
      <c r="H158" s="42" t="s">
        <v>137</v>
      </c>
      <c r="I158" s="42" t="s">
        <v>137</v>
      </c>
      <c r="J158" s="42">
        <v>2029</v>
      </c>
      <c r="K158" s="117">
        <v>62900</v>
      </c>
      <c r="L158" s="118">
        <v>0.125</v>
      </c>
      <c r="M158" s="119">
        <f t="shared" si="6"/>
        <v>7862.5</v>
      </c>
      <c r="N158" s="269">
        <f t="shared" si="7"/>
        <v>57924.878940708324</v>
      </c>
      <c r="O158" s="270">
        <f t="shared" si="8"/>
        <v>4975.1210592916732</v>
      </c>
      <c r="P158" s="42"/>
      <c r="Q158" s="42"/>
      <c r="R158" s="42" t="s">
        <v>338</v>
      </c>
      <c r="S158" s="42" t="s">
        <v>139</v>
      </c>
      <c r="T158" s="43"/>
      <c r="U158" s="43"/>
    </row>
    <row r="159" spans="1:21" ht="31.2">
      <c r="A159" s="42" t="s">
        <v>719</v>
      </c>
      <c r="B159" s="42" t="s">
        <v>131</v>
      </c>
      <c r="C159" s="42"/>
      <c r="D159" s="42" t="s">
        <v>779</v>
      </c>
      <c r="E159" s="42" t="s">
        <v>945</v>
      </c>
      <c r="F159" s="280">
        <v>2006</v>
      </c>
      <c r="G159" s="42"/>
      <c r="H159" s="42" t="s">
        <v>137</v>
      </c>
      <c r="I159" s="42" t="s">
        <v>137</v>
      </c>
      <c r="J159" s="42">
        <v>2029</v>
      </c>
      <c r="K159" s="117">
        <v>62900</v>
      </c>
      <c r="L159" s="118">
        <v>0.125</v>
      </c>
      <c r="M159" s="119">
        <f t="shared" si="6"/>
        <v>7862.5</v>
      </c>
      <c r="N159" s="269">
        <f t="shared" si="7"/>
        <v>57924.878940708324</v>
      </c>
      <c r="O159" s="270">
        <f t="shared" si="8"/>
        <v>4975.1210592916732</v>
      </c>
      <c r="P159" s="42"/>
      <c r="Q159" s="42"/>
      <c r="R159" s="42" t="s">
        <v>950</v>
      </c>
      <c r="S159" s="42" t="s">
        <v>139</v>
      </c>
      <c r="T159" s="43"/>
      <c r="U159" s="43"/>
    </row>
    <row r="160" spans="1:21" ht="31.2">
      <c r="A160" s="42" t="s">
        <v>951</v>
      </c>
      <c r="B160" s="42" t="s">
        <v>131</v>
      </c>
      <c r="C160" s="42" t="s">
        <v>181</v>
      </c>
      <c r="D160" s="42" t="s">
        <v>952</v>
      </c>
      <c r="E160" s="42" t="s">
        <v>953</v>
      </c>
      <c r="F160" s="280">
        <v>2006</v>
      </c>
      <c r="G160" s="42" t="s">
        <v>181</v>
      </c>
      <c r="H160" s="42" t="s">
        <v>137</v>
      </c>
      <c r="I160" s="42" t="s">
        <v>137</v>
      </c>
      <c r="J160" s="42"/>
      <c r="K160" s="117">
        <v>5800</v>
      </c>
      <c r="L160" s="118">
        <v>0.125</v>
      </c>
      <c r="M160" s="119">
        <f t="shared" si="6"/>
        <v>725</v>
      </c>
      <c r="N160" s="269">
        <f t="shared" si="7"/>
        <v>5341.244798984234</v>
      </c>
      <c r="O160" s="270">
        <f t="shared" si="8"/>
        <v>458.75520101576637</v>
      </c>
      <c r="P160" s="42"/>
      <c r="Q160" s="42"/>
      <c r="R160" s="42" t="s">
        <v>184</v>
      </c>
      <c r="S160" s="42" t="s">
        <v>139</v>
      </c>
      <c r="T160" s="43"/>
      <c r="U160" s="43"/>
    </row>
    <row r="161" spans="1:21" ht="31.2">
      <c r="A161" s="42" t="s">
        <v>951</v>
      </c>
      <c r="B161" s="42" t="s">
        <v>131</v>
      </c>
      <c r="C161" s="42" t="s">
        <v>181</v>
      </c>
      <c r="D161" s="42" t="s">
        <v>954</v>
      </c>
      <c r="E161" s="42" t="s">
        <v>953</v>
      </c>
      <c r="F161" s="280">
        <v>2006</v>
      </c>
      <c r="G161" s="42" t="s">
        <v>181</v>
      </c>
      <c r="H161" s="42" t="s">
        <v>137</v>
      </c>
      <c r="I161" s="42" t="s">
        <v>137</v>
      </c>
      <c r="J161" s="42"/>
      <c r="K161" s="117">
        <v>5800</v>
      </c>
      <c r="L161" s="118">
        <v>0.125</v>
      </c>
      <c r="M161" s="119">
        <f t="shared" si="6"/>
        <v>725</v>
      </c>
      <c r="N161" s="269">
        <f t="shared" si="7"/>
        <v>5341.244798984234</v>
      </c>
      <c r="O161" s="270">
        <f t="shared" si="8"/>
        <v>458.75520101576637</v>
      </c>
      <c r="P161" s="42"/>
      <c r="Q161" s="42"/>
      <c r="R161" s="42" t="s">
        <v>239</v>
      </c>
      <c r="S161" s="42" t="s">
        <v>139</v>
      </c>
      <c r="T161" s="43"/>
      <c r="U161" s="43"/>
    </row>
    <row r="162" spans="1:21" ht="31.2">
      <c r="A162" s="42" t="s">
        <v>951</v>
      </c>
      <c r="B162" s="42" t="s">
        <v>131</v>
      </c>
      <c r="C162" s="42" t="s">
        <v>181</v>
      </c>
      <c r="D162" s="42" t="s">
        <v>955</v>
      </c>
      <c r="E162" s="42" t="s">
        <v>953</v>
      </c>
      <c r="F162" s="280">
        <v>2006</v>
      </c>
      <c r="G162" s="42" t="s">
        <v>181</v>
      </c>
      <c r="H162" s="42" t="s">
        <v>137</v>
      </c>
      <c r="I162" s="42" t="s">
        <v>137</v>
      </c>
      <c r="J162" s="42"/>
      <c r="K162" s="117">
        <v>5800</v>
      </c>
      <c r="L162" s="118">
        <v>0.125</v>
      </c>
      <c r="M162" s="119">
        <f t="shared" si="6"/>
        <v>725</v>
      </c>
      <c r="N162" s="269">
        <f t="shared" si="7"/>
        <v>5341.244798984234</v>
      </c>
      <c r="O162" s="270">
        <f t="shared" si="8"/>
        <v>458.75520101576637</v>
      </c>
      <c r="P162" s="42"/>
      <c r="Q162" s="42"/>
      <c r="R162" s="42" t="s">
        <v>956</v>
      </c>
      <c r="S162" s="42" t="s">
        <v>139</v>
      </c>
      <c r="T162" s="43"/>
      <c r="U162" s="43"/>
    </row>
    <row r="163" spans="1:21" ht="93.6">
      <c r="A163" s="42" t="s">
        <v>719</v>
      </c>
      <c r="B163" s="42" t="s">
        <v>131</v>
      </c>
      <c r="C163" s="42" t="s">
        <v>181</v>
      </c>
      <c r="D163" s="42" t="s">
        <v>957</v>
      </c>
      <c r="E163" s="42" t="s">
        <v>958</v>
      </c>
      <c r="F163" s="280">
        <v>2006</v>
      </c>
      <c r="G163" s="42"/>
      <c r="H163" s="42" t="s">
        <v>137</v>
      </c>
      <c r="I163" s="42" t="s">
        <v>137</v>
      </c>
      <c r="J163" s="42"/>
      <c r="K163" s="117">
        <v>12078</v>
      </c>
      <c r="L163" s="118">
        <v>0.125</v>
      </c>
      <c r="M163" s="119">
        <f t="shared" ref="M163:M212" si="9">K163*L163</f>
        <v>1509.75</v>
      </c>
      <c r="N163" s="269">
        <f t="shared" si="7"/>
        <v>11122.681841746824</v>
      </c>
      <c r="O163" s="270">
        <f t="shared" si="8"/>
        <v>955.31815825317688</v>
      </c>
      <c r="P163" s="42"/>
      <c r="Q163" s="42"/>
      <c r="R163" s="42" t="s">
        <v>333</v>
      </c>
      <c r="S163" s="42" t="s">
        <v>139</v>
      </c>
      <c r="T163" s="43"/>
      <c r="U163" s="43"/>
    </row>
    <row r="164" spans="1:21" ht="93.6">
      <c r="A164" s="42" t="s">
        <v>719</v>
      </c>
      <c r="B164" s="42" t="s">
        <v>131</v>
      </c>
      <c r="C164" s="42" t="s">
        <v>181</v>
      </c>
      <c r="D164" s="42" t="s">
        <v>754</v>
      </c>
      <c r="E164" s="42" t="s">
        <v>959</v>
      </c>
      <c r="F164" s="280">
        <v>2006</v>
      </c>
      <c r="G164" s="42"/>
      <c r="H164" s="42" t="s">
        <v>137</v>
      </c>
      <c r="I164" s="42" t="s">
        <v>137</v>
      </c>
      <c r="J164" s="42"/>
      <c r="K164" s="117">
        <v>16730</v>
      </c>
      <c r="L164" s="118">
        <v>0.125</v>
      </c>
      <c r="M164" s="119">
        <f t="shared" si="9"/>
        <v>2091.25</v>
      </c>
      <c r="N164" s="269">
        <f t="shared" si="7"/>
        <v>15406.728532242454</v>
      </c>
      <c r="O164" s="270">
        <f t="shared" si="8"/>
        <v>1323.2714677575468</v>
      </c>
      <c r="P164" s="42"/>
      <c r="Q164" s="42"/>
      <c r="R164" s="42" t="s">
        <v>960</v>
      </c>
      <c r="S164" s="42" t="s">
        <v>139</v>
      </c>
      <c r="T164" s="43"/>
      <c r="U164" s="43"/>
    </row>
    <row r="165" spans="1:21" ht="93.6">
      <c r="A165" s="42" t="s">
        <v>719</v>
      </c>
      <c r="B165" s="42" t="s">
        <v>131</v>
      </c>
      <c r="C165" s="42" t="s">
        <v>181</v>
      </c>
      <c r="D165" s="42" t="s">
        <v>961</v>
      </c>
      <c r="E165" s="42" t="s">
        <v>962</v>
      </c>
      <c r="F165" s="280">
        <v>2006</v>
      </c>
      <c r="G165" s="42"/>
      <c r="H165" s="42" t="s">
        <v>137</v>
      </c>
      <c r="I165" s="42" t="s">
        <v>137</v>
      </c>
      <c r="J165" s="42"/>
      <c r="K165" s="117">
        <v>21000</v>
      </c>
      <c r="L165" s="118">
        <v>0.125</v>
      </c>
      <c r="M165" s="119">
        <f t="shared" si="9"/>
        <v>2625</v>
      </c>
      <c r="N165" s="269">
        <f t="shared" si="7"/>
        <v>19338.989789425672</v>
      </c>
      <c r="O165" s="270">
        <f t="shared" si="8"/>
        <v>1661.0102105743265</v>
      </c>
      <c r="P165" s="42"/>
      <c r="Q165" s="42"/>
      <c r="R165" s="42" t="s">
        <v>963</v>
      </c>
      <c r="S165" s="42" t="s">
        <v>139</v>
      </c>
      <c r="T165" s="43"/>
      <c r="U165" s="43"/>
    </row>
    <row r="166" spans="1:21" ht="93.6">
      <c r="A166" s="42" t="s">
        <v>719</v>
      </c>
      <c r="B166" s="42" t="s">
        <v>131</v>
      </c>
      <c r="C166" s="42" t="s">
        <v>181</v>
      </c>
      <c r="D166" s="42" t="s">
        <v>964</v>
      </c>
      <c r="E166" s="42" t="s">
        <v>962</v>
      </c>
      <c r="F166" s="280">
        <v>2006</v>
      </c>
      <c r="G166" s="42"/>
      <c r="H166" s="42" t="s">
        <v>137</v>
      </c>
      <c r="I166" s="42" t="s">
        <v>137</v>
      </c>
      <c r="J166" s="42"/>
      <c r="K166" s="117">
        <v>21000</v>
      </c>
      <c r="L166" s="118">
        <v>0.125</v>
      </c>
      <c r="M166" s="119">
        <f t="shared" si="9"/>
        <v>2625</v>
      </c>
      <c r="N166" s="269">
        <f t="shared" si="7"/>
        <v>19338.989789425672</v>
      </c>
      <c r="O166" s="270">
        <f t="shared" si="8"/>
        <v>1661.0102105743265</v>
      </c>
      <c r="P166" s="42"/>
      <c r="Q166" s="42"/>
      <c r="R166" s="42" t="s">
        <v>441</v>
      </c>
      <c r="S166" s="42" t="s">
        <v>139</v>
      </c>
      <c r="T166" s="43"/>
      <c r="U166" s="43"/>
    </row>
    <row r="167" spans="1:21" ht="93.6">
      <c r="A167" s="42" t="s">
        <v>719</v>
      </c>
      <c r="B167" s="42" t="s">
        <v>131</v>
      </c>
      <c r="C167" s="42" t="s">
        <v>181</v>
      </c>
      <c r="D167" s="42" t="s">
        <v>965</v>
      </c>
      <c r="E167" s="42" t="s">
        <v>962</v>
      </c>
      <c r="F167" s="280">
        <v>2006</v>
      </c>
      <c r="G167" s="42"/>
      <c r="H167" s="42" t="s">
        <v>137</v>
      </c>
      <c r="I167" s="42" t="s">
        <v>137</v>
      </c>
      <c r="J167" s="42"/>
      <c r="K167" s="117">
        <v>21000</v>
      </c>
      <c r="L167" s="118">
        <v>0.125</v>
      </c>
      <c r="M167" s="119">
        <f t="shared" si="9"/>
        <v>2625</v>
      </c>
      <c r="N167" s="269">
        <f t="shared" si="7"/>
        <v>19338.989789425672</v>
      </c>
      <c r="O167" s="270">
        <f t="shared" si="8"/>
        <v>1661.0102105743265</v>
      </c>
      <c r="P167" s="42"/>
      <c r="Q167" s="42"/>
      <c r="R167" s="42" t="s">
        <v>438</v>
      </c>
      <c r="S167" s="42" t="s">
        <v>139</v>
      </c>
      <c r="T167" s="43"/>
      <c r="U167" s="43"/>
    </row>
    <row r="168" spans="1:21" ht="93.6">
      <c r="A168" s="42" t="s">
        <v>719</v>
      </c>
      <c r="B168" s="42" t="s">
        <v>131</v>
      </c>
      <c r="C168" s="42" t="s">
        <v>181</v>
      </c>
      <c r="D168" s="42" t="s">
        <v>966</v>
      </c>
      <c r="E168" s="42" t="s">
        <v>962</v>
      </c>
      <c r="F168" s="280">
        <v>2006</v>
      </c>
      <c r="G168" s="42"/>
      <c r="H168" s="42" t="s">
        <v>137</v>
      </c>
      <c r="I168" s="42" t="s">
        <v>137</v>
      </c>
      <c r="J168" s="42"/>
      <c r="K168" s="117">
        <v>21000</v>
      </c>
      <c r="L168" s="118">
        <v>0.125</v>
      </c>
      <c r="M168" s="119">
        <f t="shared" si="9"/>
        <v>2625</v>
      </c>
      <c r="N168" s="269">
        <f t="shared" si="7"/>
        <v>19338.989789425672</v>
      </c>
      <c r="O168" s="270">
        <f t="shared" si="8"/>
        <v>1661.0102105743265</v>
      </c>
      <c r="P168" s="42"/>
      <c r="Q168" s="42"/>
      <c r="R168" s="42" t="s">
        <v>310</v>
      </c>
      <c r="S168" s="42" t="s">
        <v>139</v>
      </c>
      <c r="T168" s="43"/>
      <c r="U168" s="43"/>
    </row>
    <row r="169" spans="1:21" ht="93.6">
      <c r="A169" s="42" t="s">
        <v>719</v>
      </c>
      <c r="B169" s="42" t="s">
        <v>131</v>
      </c>
      <c r="C169" s="42" t="s">
        <v>181</v>
      </c>
      <c r="D169" s="42" t="s">
        <v>967</v>
      </c>
      <c r="E169" s="42" t="s">
        <v>962</v>
      </c>
      <c r="F169" s="280">
        <v>2006</v>
      </c>
      <c r="G169" s="42"/>
      <c r="H169" s="42" t="s">
        <v>137</v>
      </c>
      <c r="I169" s="42" t="s">
        <v>137</v>
      </c>
      <c r="J169" s="42"/>
      <c r="K169" s="117">
        <v>21000</v>
      </c>
      <c r="L169" s="118">
        <v>0.125</v>
      </c>
      <c r="M169" s="119">
        <f t="shared" si="9"/>
        <v>2625</v>
      </c>
      <c r="N169" s="269">
        <f t="shared" si="7"/>
        <v>19338.989789425672</v>
      </c>
      <c r="O169" s="270">
        <f t="shared" si="8"/>
        <v>1661.0102105743265</v>
      </c>
      <c r="P169" s="42"/>
      <c r="Q169" s="42"/>
      <c r="R169" s="42" t="s">
        <v>464</v>
      </c>
      <c r="S169" s="42" t="s">
        <v>139</v>
      </c>
      <c r="T169" s="43"/>
      <c r="U169" s="43"/>
    </row>
    <row r="170" spans="1:21" ht="93.6">
      <c r="A170" s="42" t="s">
        <v>719</v>
      </c>
      <c r="B170" s="42" t="s">
        <v>131</v>
      </c>
      <c r="C170" s="42" t="s">
        <v>181</v>
      </c>
      <c r="D170" s="42" t="s">
        <v>968</v>
      </c>
      <c r="E170" s="42" t="s">
        <v>962</v>
      </c>
      <c r="F170" s="280">
        <v>2006</v>
      </c>
      <c r="G170" s="42"/>
      <c r="H170" s="42" t="s">
        <v>137</v>
      </c>
      <c r="I170" s="42" t="s">
        <v>137</v>
      </c>
      <c r="J170" s="42"/>
      <c r="K170" s="117">
        <v>21000</v>
      </c>
      <c r="L170" s="118">
        <v>0.125</v>
      </c>
      <c r="M170" s="119">
        <f t="shared" si="9"/>
        <v>2625</v>
      </c>
      <c r="N170" s="269">
        <f t="shared" si="7"/>
        <v>19338.989789425672</v>
      </c>
      <c r="O170" s="270">
        <f t="shared" si="8"/>
        <v>1661.0102105743265</v>
      </c>
      <c r="P170" s="42"/>
      <c r="Q170" s="42"/>
      <c r="R170" s="42" t="s">
        <v>969</v>
      </c>
      <c r="S170" s="42" t="s">
        <v>139</v>
      </c>
      <c r="T170" s="43"/>
      <c r="U170" s="43"/>
    </row>
    <row r="171" spans="1:21" ht="93.6">
      <c r="A171" s="42" t="s">
        <v>719</v>
      </c>
      <c r="B171" s="42" t="s">
        <v>131</v>
      </c>
      <c r="C171" s="42" t="s">
        <v>181</v>
      </c>
      <c r="D171" s="42" t="s">
        <v>970</v>
      </c>
      <c r="E171" s="42" t="s">
        <v>962</v>
      </c>
      <c r="F171" s="280">
        <v>2006</v>
      </c>
      <c r="G171" s="42"/>
      <c r="H171" s="42" t="s">
        <v>137</v>
      </c>
      <c r="I171" s="42" t="s">
        <v>137</v>
      </c>
      <c r="J171" s="42"/>
      <c r="K171" s="117">
        <v>21000</v>
      </c>
      <c r="L171" s="118">
        <v>0.125</v>
      </c>
      <c r="M171" s="119">
        <f t="shared" si="9"/>
        <v>2625</v>
      </c>
      <c r="N171" s="269">
        <f t="shared" si="7"/>
        <v>19338.989789425672</v>
      </c>
      <c r="O171" s="270">
        <f t="shared" si="8"/>
        <v>1661.0102105743265</v>
      </c>
      <c r="P171" s="42"/>
      <c r="Q171" s="42"/>
      <c r="R171" s="42" t="s">
        <v>869</v>
      </c>
      <c r="S171" s="42">
        <v>10850</v>
      </c>
      <c r="T171" s="43"/>
      <c r="U171" s="43"/>
    </row>
    <row r="172" spans="1:21" ht="93.6">
      <c r="A172" s="42" t="s">
        <v>943</v>
      </c>
      <c r="B172" s="42" t="s">
        <v>131</v>
      </c>
      <c r="C172" s="42" t="s">
        <v>181</v>
      </c>
      <c r="D172" s="42" t="s">
        <v>971</v>
      </c>
      <c r="E172" s="42" t="s">
        <v>962</v>
      </c>
      <c r="F172" s="280">
        <v>2006</v>
      </c>
      <c r="G172" s="42"/>
      <c r="H172" s="42" t="s">
        <v>137</v>
      </c>
      <c r="I172" s="42" t="s">
        <v>137</v>
      </c>
      <c r="J172" s="42"/>
      <c r="K172" s="117">
        <v>21000</v>
      </c>
      <c r="L172" s="118">
        <v>0.125</v>
      </c>
      <c r="M172" s="119">
        <f t="shared" si="9"/>
        <v>2625</v>
      </c>
      <c r="N172" s="269">
        <f t="shared" si="7"/>
        <v>19338.989789425672</v>
      </c>
      <c r="O172" s="270">
        <f t="shared" si="8"/>
        <v>1661.0102105743265</v>
      </c>
      <c r="P172" s="42"/>
      <c r="Q172" s="42"/>
      <c r="R172" s="42" t="s">
        <v>972</v>
      </c>
      <c r="S172" s="42" t="s">
        <v>139</v>
      </c>
      <c r="T172" s="43"/>
      <c r="U172" s="43"/>
    </row>
    <row r="173" spans="1:21" ht="93.6">
      <c r="A173" s="42" t="s">
        <v>719</v>
      </c>
      <c r="B173" s="42" t="s">
        <v>131</v>
      </c>
      <c r="C173" s="42" t="s">
        <v>181</v>
      </c>
      <c r="D173" s="42" t="s">
        <v>973</v>
      </c>
      <c r="E173" s="42" t="s">
        <v>974</v>
      </c>
      <c r="F173" s="280">
        <v>2006</v>
      </c>
      <c r="G173" s="42"/>
      <c r="H173" s="42" t="s">
        <v>137</v>
      </c>
      <c r="I173" s="42" t="s">
        <v>137</v>
      </c>
      <c r="J173" s="42"/>
      <c r="K173" s="117">
        <v>21000</v>
      </c>
      <c r="L173" s="118">
        <v>0.125</v>
      </c>
      <c r="M173" s="119">
        <f t="shared" si="9"/>
        <v>2625</v>
      </c>
      <c r="N173" s="269">
        <f t="shared" si="7"/>
        <v>19338.989789425672</v>
      </c>
      <c r="O173" s="270">
        <f t="shared" si="8"/>
        <v>1661.0102105743265</v>
      </c>
      <c r="P173" s="42"/>
      <c r="Q173" s="42"/>
      <c r="R173" s="42" t="s">
        <v>975</v>
      </c>
      <c r="S173" s="42" t="s">
        <v>139</v>
      </c>
      <c r="T173" s="43"/>
      <c r="U173" s="43"/>
    </row>
    <row r="174" spans="1:21" ht="93.6">
      <c r="A174" s="42" t="s">
        <v>719</v>
      </c>
      <c r="B174" s="42" t="s">
        <v>131</v>
      </c>
      <c r="C174" s="42" t="s">
        <v>181</v>
      </c>
      <c r="D174" s="42" t="s">
        <v>240</v>
      </c>
      <c r="E174" s="42" t="s">
        <v>974</v>
      </c>
      <c r="F174" s="280">
        <v>2006</v>
      </c>
      <c r="G174" s="42"/>
      <c r="H174" s="42" t="s">
        <v>137</v>
      </c>
      <c r="I174" s="42" t="s">
        <v>137</v>
      </c>
      <c r="J174" s="42"/>
      <c r="K174" s="117">
        <v>21000</v>
      </c>
      <c r="L174" s="118">
        <v>0.125</v>
      </c>
      <c r="M174" s="119">
        <f t="shared" si="9"/>
        <v>2625</v>
      </c>
      <c r="N174" s="269">
        <f t="shared" si="7"/>
        <v>19338.989789425672</v>
      </c>
      <c r="O174" s="270">
        <f t="shared" si="8"/>
        <v>1661.0102105743265</v>
      </c>
      <c r="P174" s="42"/>
      <c r="Q174" s="42"/>
      <c r="R174" s="42" t="s">
        <v>405</v>
      </c>
      <c r="S174" s="42" t="s">
        <v>139</v>
      </c>
      <c r="T174" s="43"/>
      <c r="U174" s="43"/>
    </row>
    <row r="175" spans="1:21" ht="93.6">
      <c r="A175" s="42" t="s">
        <v>719</v>
      </c>
      <c r="B175" s="42" t="s">
        <v>131</v>
      </c>
      <c r="C175" s="42" t="s">
        <v>181</v>
      </c>
      <c r="D175" s="42" t="s">
        <v>976</v>
      </c>
      <c r="E175" s="42" t="s">
        <v>974</v>
      </c>
      <c r="F175" s="280">
        <v>2006</v>
      </c>
      <c r="G175" s="116"/>
      <c r="H175" s="42" t="s">
        <v>137</v>
      </c>
      <c r="I175" s="42" t="s">
        <v>137</v>
      </c>
      <c r="J175" s="42"/>
      <c r="K175" s="117">
        <v>21000</v>
      </c>
      <c r="L175" s="118">
        <v>0.125</v>
      </c>
      <c r="M175" s="119">
        <f t="shared" si="9"/>
        <v>2625</v>
      </c>
      <c r="N175" s="269">
        <f t="shared" si="7"/>
        <v>19338.989789425672</v>
      </c>
      <c r="O175" s="270">
        <f t="shared" si="8"/>
        <v>1661.0102105743265</v>
      </c>
      <c r="P175" s="42"/>
      <c r="Q175" s="42"/>
      <c r="R175" s="42" t="s">
        <v>977</v>
      </c>
      <c r="S175" s="42" t="s">
        <v>139</v>
      </c>
      <c r="T175" s="43"/>
      <c r="U175" s="43"/>
    </row>
    <row r="176" spans="1:21" ht="93.6">
      <c r="A176" s="42" t="s">
        <v>719</v>
      </c>
      <c r="B176" s="42" t="s">
        <v>131</v>
      </c>
      <c r="C176" s="42" t="s">
        <v>181</v>
      </c>
      <c r="D176" s="42" t="s">
        <v>978</v>
      </c>
      <c r="E176" s="42" t="s">
        <v>974</v>
      </c>
      <c r="F176" s="280">
        <v>2006</v>
      </c>
      <c r="G176" s="116"/>
      <c r="H176" s="42" t="s">
        <v>137</v>
      </c>
      <c r="I176" s="42" t="s">
        <v>137</v>
      </c>
      <c r="J176" s="42"/>
      <c r="K176" s="117">
        <v>21000</v>
      </c>
      <c r="L176" s="118">
        <v>0.125</v>
      </c>
      <c r="M176" s="119">
        <f t="shared" si="9"/>
        <v>2625</v>
      </c>
      <c r="N176" s="269">
        <f t="shared" si="7"/>
        <v>19338.989789425672</v>
      </c>
      <c r="O176" s="270">
        <f t="shared" si="8"/>
        <v>1661.0102105743265</v>
      </c>
      <c r="P176" s="42"/>
      <c r="Q176" s="42"/>
      <c r="R176" s="42" t="s">
        <v>979</v>
      </c>
      <c r="S176" s="42" t="s">
        <v>139</v>
      </c>
      <c r="T176" s="43"/>
      <c r="U176" s="43"/>
    </row>
    <row r="177" spans="1:21" ht="93.6">
      <c r="A177" s="42" t="s">
        <v>719</v>
      </c>
      <c r="B177" s="42" t="s">
        <v>131</v>
      </c>
      <c r="C177" s="42" t="s">
        <v>181</v>
      </c>
      <c r="D177" s="42" t="s">
        <v>980</v>
      </c>
      <c r="E177" s="42" t="s">
        <v>974</v>
      </c>
      <c r="F177" s="280">
        <v>2006</v>
      </c>
      <c r="G177" s="116"/>
      <c r="H177" s="42" t="s">
        <v>137</v>
      </c>
      <c r="I177" s="42" t="s">
        <v>137</v>
      </c>
      <c r="J177" s="42"/>
      <c r="K177" s="117">
        <v>21000</v>
      </c>
      <c r="L177" s="118">
        <v>0.125</v>
      </c>
      <c r="M177" s="119">
        <f t="shared" si="9"/>
        <v>2625</v>
      </c>
      <c r="N177" s="269">
        <f t="shared" si="7"/>
        <v>19338.989789425672</v>
      </c>
      <c r="O177" s="270">
        <f t="shared" si="8"/>
        <v>1661.0102105743265</v>
      </c>
      <c r="P177" s="42"/>
      <c r="Q177" s="42"/>
      <c r="R177" s="42" t="s">
        <v>381</v>
      </c>
      <c r="S177" s="42" t="s">
        <v>139</v>
      </c>
      <c r="T177" s="43"/>
      <c r="U177" s="43"/>
    </row>
    <row r="178" spans="1:21" ht="31.2">
      <c r="A178" s="42" t="s">
        <v>719</v>
      </c>
      <c r="B178" s="42" t="s">
        <v>131</v>
      </c>
      <c r="C178" s="42" t="s">
        <v>181</v>
      </c>
      <c r="D178" s="42" t="s">
        <v>981</v>
      </c>
      <c r="E178" s="42" t="s">
        <v>982</v>
      </c>
      <c r="F178" s="280">
        <v>2006</v>
      </c>
      <c r="G178" s="116"/>
      <c r="H178" s="42" t="s">
        <v>137</v>
      </c>
      <c r="I178" s="42" t="s">
        <v>137</v>
      </c>
      <c r="J178" s="42"/>
      <c r="K178" s="117">
        <v>21000</v>
      </c>
      <c r="L178" s="118">
        <v>0.125</v>
      </c>
      <c r="M178" s="119">
        <f t="shared" si="9"/>
        <v>2625</v>
      </c>
      <c r="N178" s="269">
        <f t="shared" si="7"/>
        <v>19338.989789425672</v>
      </c>
      <c r="O178" s="270">
        <f t="shared" si="8"/>
        <v>1661.0102105743265</v>
      </c>
      <c r="P178" s="42"/>
      <c r="Q178" s="42"/>
      <c r="R178" s="42" t="s">
        <v>983</v>
      </c>
      <c r="S178" s="42" t="s">
        <v>139</v>
      </c>
      <c r="T178" s="43"/>
      <c r="U178" s="43"/>
    </row>
    <row r="179" spans="1:21" ht="46.8">
      <c r="A179" s="42" t="s">
        <v>719</v>
      </c>
      <c r="B179" s="42" t="s">
        <v>131</v>
      </c>
      <c r="C179" s="42" t="s">
        <v>181</v>
      </c>
      <c r="D179" s="42" t="s">
        <v>984</v>
      </c>
      <c r="E179" s="42" t="s">
        <v>985</v>
      </c>
      <c r="F179" s="280">
        <v>2006</v>
      </c>
      <c r="G179" s="116"/>
      <c r="H179" s="42" t="s">
        <v>137</v>
      </c>
      <c r="I179" s="42" t="s">
        <v>137</v>
      </c>
      <c r="J179" s="42"/>
      <c r="K179" s="117">
        <v>21000</v>
      </c>
      <c r="L179" s="118">
        <v>0.125</v>
      </c>
      <c r="M179" s="119">
        <f t="shared" si="9"/>
        <v>2625</v>
      </c>
      <c r="N179" s="269">
        <f t="shared" si="7"/>
        <v>19338.989789425672</v>
      </c>
      <c r="O179" s="270">
        <f t="shared" si="8"/>
        <v>1661.0102105743265</v>
      </c>
      <c r="P179" s="42"/>
      <c r="Q179" s="42"/>
      <c r="R179" s="42" t="s">
        <v>877</v>
      </c>
      <c r="S179" s="42" t="s">
        <v>139</v>
      </c>
      <c r="T179" s="43"/>
      <c r="U179" s="43"/>
    </row>
    <row r="180" spans="1:21" ht="46.8">
      <c r="A180" s="42" t="s">
        <v>719</v>
      </c>
      <c r="B180" s="42" t="s">
        <v>131</v>
      </c>
      <c r="C180" s="42" t="s">
        <v>181</v>
      </c>
      <c r="D180" s="42" t="s">
        <v>986</v>
      </c>
      <c r="E180" s="42" t="s">
        <v>985</v>
      </c>
      <c r="F180" s="280">
        <v>2006</v>
      </c>
      <c r="G180" s="116"/>
      <c r="H180" s="42" t="s">
        <v>137</v>
      </c>
      <c r="I180" s="42" t="s">
        <v>137</v>
      </c>
      <c r="J180" s="42"/>
      <c r="K180" s="117">
        <v>21000</v>
      </c>
      <c r="L180" s="118">
        <v>0.125</v>
      </c>
      <c r="M180" s="119">
        <f t="shared" si="9"/>
        <v>2625</v>
      </c>
      <c r="N180" s="269">
        <f t="shared" si="7"/>
        <v>19338.989789425672</v>
      </c>
      <c r="O180" s="270">
        <f t="shared" si="8"/>
        <v>1661.0102105743265</v>
      </c>
      <c r="P180" s="42"/>
      <c r="Q180" s="42"/>
      <c r="R180" s="42" t="s">
        <v>307</v>
      </c>
      <c r="S180" s="42" t="s">
        <v>139</v>
      </c>
      <c r="T180" s="43"/>
      <c r="U180" s="43"/>
    </row>
    <row r="181" spans="1:21" ht="31.2">
      <c r="A181" s="42" t="s">
        <v>719</v>
      </c>
      <c r="B181" s="42" t="s">
        <v>131</v>
      </c>
      <c r="C181" s="42" t="s">
        <v>181</v>
      </c>
      <c r="D181" s="42" t="s">
        <v>987</v>
      </c>
      <c r="E181" s="42" t="s">
        <v>982</v>
      </c>
      <c r="F181" s="280">
        <v>2006</v>
      </c>
      <c r="G181" s="116"/>
      <c r="H181" s="42" t="s">
        <v>137</v>
      </c>
      <c r="I181" s="42" t="s">
        <v>137</v>
      </c>
      <c r="J181" s="42"/>
      <c r="K181" s="117">
        <v>21000</v>
      </c>
      <c r="L181" s="117"/>
      <c r="M181" s="119">
        <f t="shared" si="9"/>
        <v>0</v>
      </c>
      <c r="N181" s="269">
        <f t="shared" si="7"/>
        <v>0</v>
      </c>
      <c r="O181" s="270">
        <f t="shared" si="8"/>
        <v>21000</v>
      </c>
      <c r="P181" s="42"/>
      <c r="Q181" s="42"/>
      <c r="R181" s="42" t="s">
        <v>307</v>
      </c>
      <c r="S181" s="42" t="s">
        <v>139</v>
      </c>
      <c r="T181" s="43"/>
      <c r="U181" s="43"/>
    </row>
    <row r="182" spans="1:21" ht="93.6">
      <c r="A182" s="42" t="s">
        <v>790</v>
      </c>
      <c r="B182" s="42" t="s">
        <v>131</v>
      </c>
      <c r="C182" s="42" t="s">
        <v>181</v>
      </c>
      <c r="D182" s="42" t="s">
        <v>988</v>
      </c>
      <c r="E182" s="42" t="s">
        <v>989</v>
      </c>
      <c r="F182" s="280">
        <v>2006</v>
      </c>
      <c r="G182" s="42"/>
      <c r="H182" s="42" t="s">
        <v>137</v>
      </c>
      <c r="I182" s="42" t="s">
        <v>137</v>
      </c>
      <c r="J182" s="42">
        <v>2030</v>
      </c>
      <c r="K182" s="117">
        <v>15000</v>
      </c>
      <c r="L182" s="118">
        <v>0.125</v>
      </c>
      <c r="M182" s="119">
        <f t="shared" si="9"/>
        <v>1875</v>
      </c>
      <c r="N182" s="269">
        <f t="shared" si="7"/>
        <v>13813.564135304052</v>
      </c>
      <c r="O182" s="270">
        <f t="shared" si="8"/>
        <v>1186.4358646959474</v>
      </c>
      <c r="P182" s="42"/>
      <c r="Q182" s="42"/>
      <c r="R182" s="42" t="s">
        <v>338</v>
      </c>
      <c r="S182" s="42" t="s">
        <v>139</v>
      </c>
      <c r="T182" s="43"/>
      <c r="U182" s="43"/>
    </row>
    <row r="183" spans="1:21" ht="62.4">
      <c r="A183" s="42" t="s">
        <v>790</v>
      </c>
      <c r="B183" s="42" t="s">
        <v>131</v>
      </c>
      <c r="C183" s="42" t="s">
        <v>181</v>
      </c>
      <c r="D183" s="42" t="s">
        <v>990</v>
      </c>
      <c r="E183" s="42" t="s">
        <v>991</v>
      </c>
      <c r="F183" s="280">
        <v>2006</v>
      </c>
      <c r="G183" s="42"/>
      <c r="H183" s="42" t="s">
        <v>137</v>
      </c>
      <c r="I183" s="42" t="s">
        <v>137</v>
      </c>
      <c r="J183" s="42">
        <v>2014</v>
      </c>
      <c r="K183" s="117">
        <v>6580</v>
      </c>
      <c r="L183" s="118">
        <v>0.125</v>
      </c>
      <c r="M183" s="119">
        <f t="shared" si="9"/>
        <v>822.5</v>
      </c>
      <c r="N183" s="269">
        <f t="shared" si="7"/>
        <v>6059.5501340200444</v>
      </c>
      <c r="O183" s="270">
        <f t="shared" si="8"/>
        <v>520.44986597995558</v>
      </c>
      <c r="P183" s="42"/>
      <c r="Q183" s="42"/>
      <c r="R183" s="42" t="s">
        <v>610</v>
      </c>
      <c r="S183" s="42" t="s">
        <v>139</v>
      </c>
      <c r="T183" s="43"/>
      <c r="U183" s="43"/>
    </row>
    <row r="184" spans="1:21" ht="62.4">
      <c r="A184" s="42" t="s">
        <v>790</v>
      </c>
      <c r="B184" s="42" t="s">
        <v>131</v>
      </c>
      <c r="C184" s="42" t="s">
        <v>181</v>
      </c>
      <c r="D184" s="42" t="s">
        <v>992</v>
      </c>
      <c r="E184" s="42" t="s">
        <v>991</v>
      </c>
      <c r="F184" s="280">
        <v>2006</v>
      </c>
      <c r="G184" s="42"/>
      <c r="H184" s="42" t="s">
        <v>137</v>
      </c>
      <c r="I184" s="42" t="s">
        <v>137</v>
      </c>
      <c r="J184" s="42">
        <v>2014</v>
      </c>
      <c r="K184" s="117">
        <v>6580</v>
      </c>
      <c r="L184" s="118">
        <v>0.125</v>
      </c>
      <c r="M184" s="119">
        <f t="shared" si="9"/>
        <v>822.5</v>
      </c>
      <c r="N184" s="269">
        <f t="shared" si="7"/>
        <v>6059.5501340200444</v>
      </c>
      <c r="O184" s="270">
        <f t="shared" si="8"/>
        <v>520.44986597995558</v>
      </c>
      <c r="P184" s="42"/>
      <c r="Q184" s="42"/>
      <c r="R184" s="42" t="s">
        <v>310</v>
      </c>
      <c r="S184" s="42" t="s">
        <v>139</v>
      </c>
      <c r="T184" s="43"/>
      <c r="U184" s="43"/>
    </row>
    <row r="185" spans="1:21" ht="62.4">
      <c r="A185" s="42" t="s">
        <v>790</v>
      </c>
      <c r="B185" s="42" t="s">
        <v>131</v>
      </c>
      <c r="C185" s="42" t="s">
        <v>181</v>
      </c>
      <c r="D185" s="42" t="s">
        <v>993</v>
      </c>
      <c r="E185" s="42" t="s">
        <v>991</v>
      </c>
      <c r="F185" s="280">
        <v>2006</v>
      </c>
      <c r="G185" s="42"/>
      <c r="H185" s="42" t="s">
        <v>137</v>
      </c>
      <c r="I185" s="42" t="s">
        <v>137</v>
      </c>
      <c r="J185" s="42">
        <v>2014</v>
      </c>
      <c r="K185" s="117">
        <v>6580</v>
      </c>
      <c r="L185" s="118">
        <v>0.125</v>
      </c>
      <c r="M185" s="119">
        <f t="shared" si="9"/>
        <v>822.5</v>
      </c>
      <c r="N185" s="269">
        <f t="shared" si="7"/>
        <v>6059.5501340200444</v>
      </c>
      <c r="O185" s="270">
        <f t="shared" si="8"/>
        <v>520.44986597995558</v>
      </c>
      <c r="P185" s="42"/>
      <c r="Q185" s="42"/>
      <c r="R185" s="42" t="s">
        <v>438</v>
      </c>
      <c r="S185" s="42" t="s">
        <v>139</v>
      </c>
      <c r="T185" s="43"/>
      <c r="U185" s="43"/>
    </row>
    <row r="186" spans="1:21" ht="62.4">
      <c r="A186" s="42" t="s">
        <v>790</v>
      </c>
      <c r="B186" s="42" t="s">
        <v>131</v>
      </c>
      <c r="C186" s="42" t="s">
        <v>181</v>
      </c>
      <c r="D186" s="42" t="s">
        <v>994</v>
      </c>
      <c r="E186" s="42" t="s">
        <v>991</v>
      </c>
      <c r="F186" s="280">
        <v>2006</v>
      </c>
      <c r="G186" s="42"/>
      <c r="H186" s="42" t="s">
        <v>137</v>
      </c>
      <c r="I186" s="42" t="s">
        <v>137</v>
      </c>
      <c r="J186" s="42">
        <v>2014</v>
      </c>
      <c r="K186" s="117">
        <v>6580</v>
      </c>
      <c r="L186" s="118">
        <v>0.125</v>
      </c>
      <c r="M186" s="119">
        <f t="shared" si="9"/>
        <v>822.5</v>
      </c>
      <c r="N186" s="269">
        <f t="shared" si="7"/>
        <v>6059.5501340200444</v>
      </c>
      <c r="O186" s="270">
        <f t="shared" si="8"/>
        <v>520.44986597995558</v>
      </c>
      <c r="P186" s="42"/>
      <c r="Q186" s="42"/>
      <c r="R186" s="42" t="s">
        <v>995</v>
      </c>
      <c r="S186" s="42" t="s">
        <v>139</v>
      </c>
      <c r="T186" s="43"/>
      <c r="U186" s="43"/>
    </row>
    <row r="187" spans="1:21" ht="62.4">
      <c r="A187" s="42" t="s">
        <v>790</v>
      </c>
      <c r="B187" s="42" t="s">
        <v>131</v>
      </c>
      <c r="C187" s="42" t="s">
        <v>181</v>
      </c>
      <c r="D187" s="42" t="s">
        <v>816</v>
      </c>
      <c r="E187" s="42" t="s">
        <v>991</v>
      </c>
      <c r="F187" s="280">
        <v>2006</v>
      </c>
      <c r="G187" s="42"/>
      <c r="H187" s="42" t="s">
        <v>137</v>
      </c>
      <c r="I187" s="42" t="s">
        <v>137</v>
      </c>
      <c r="J187" s="42">
        <v>2014</v>
      </c>
      <c r="K187" s="117">
        <v>6580</v>
      </c>
      <c r="L187" s="118">
        <v>0.125</v>
      </c>
      <c r="M187" s="119">
        <f t="shared" si="9"/>
        <v>822.5</v>
      </c>
      <c r="N187" s="269">
        <f t="shared" si="7"/>
        <v>6059.5501340200444</v>
      </c>
      <c r="O187" s="270">
        <f t="shared" si="8"/>
        <v>520.44986597995558</v>
      </c>
      <c r="P187" s="42"/>
      <c r="Q187" s="42"/>
      <c r="R187" s="42" t="s">
        <v>324</v>
      </c>
      <c r="S187" s="42" t="s">
        <v>139</v>
      </c>
      <c r="T187" s="43"/>
      <c r="U187" s="43"/>
    </row>
    <row r="188" spans="1:21" ht="62.4">
      <c r="A188" s="42" t="s">
        <v>790</v>
      </c>
      <c r="B188" s="42" t="s">
        <v>131</v>
      </c>
      <c r="C188" s="42" t="s">
        <v>181</v>
      </c>
      <c r="D188" s="42" t="s">
        <v>996</v>
      </c>
      <c r="E188" s="42" t="s">
        <v>991</v>
      </c>
      <c r="F188" s="280">
        <v>2006</v>
      </c>
      <c r="G188" s="42"/>
      <c r="H188" s="42" t="s">
        <v>137</v>
      </c>
      <c r="I188" s="42" t="s">
        <v>137</v>
      </c>
      <c r="J188" s="42">
        <v>2014</v>
      </c>
      <c r="K188" s="117">
        <v>6580</v>
      </c>
      <c r="L188" s="118">
        <v>0.125</v>
      </c>
      <c r="M188" s="119">
        <f t="shared" si="9"/>
        <v>822.5</v>
      </c>
      <c r="N188" s="269">
        <f t="shared" si="7"/>
        <v>6059.5501340200444</v>
      </c>
      <c r="O188" s="270">
        <f t="shared" si="8"/>
        <v>520.44986597995558</v>
      </c>
      <c r="P188" s="42"/>
      <c r="Q188" s="42"/>
      <c r="R188" s="42" t="s">
        <v>997</v>
      </c>
      <c r="S188" s="42" t="s">
        <v>139</v>
      </c>
      <c r="T188" s="43"/>
      <c r="U188" s="43"/>
    </row>
    <row r="189" spans="1:21" ht="31.2">
      <c r="A189" s="42" t="s">
        <v>874</v>
      </c>
      <c r="B189" s="42" t="s">
        <v>131</v>
      </c>
      <c r="C189" s="42"/>
      <c r="D189" s="42" t="s">
        <v>998</v>
      </c>
      <c r="E189" s="42" t="s">
        <v>876</v>
      </c>
      <c r="F189" s="280">
        <v>2006</v>
      </c>
      <c r="G189" s="42"/>
      <c r="H189" s="42" t="s">
        <v>137</v>
      </c>
      <c r="I189" s="42" t="s">
        <v>137</v>
      </c>
      <c r="J189" s="42">
        <v>2014</v>
      </c>
      <c r="K189" s="117">
        <v>5104</v>
      </c>
      <c r="L189" s="118">
        <v>0.125</v>
      </c>
      <c r="M189" s="119">
        <f t="shared" si="9"/>
        <v>638</v>
      </c>
      <c r="N189" s="269">
        <f t="shared" si="7"/>
        <v>4700.2954231061258</v>
      </c>
      <c r="O189" s="270">
        <f t="shared" si="8"/>
        <v>403.70457689387439</v>
      </c>
      <c r="P189" s="42"/>
      <c r="Q189" s="42"/>
      <c r="R189" s="42" t="s">
        <v>409</v>
      </c>
      <c r="S189" s="42" t="s">
        <v>139</v>
      </c>
      <c r="T189" s="43"/>
      <c r="U189" s="43"/>
    </row>
    <row r="190" spans="1:21" ht="31.2">
      <c r="A190" s="42" t="s">
        <v>874</v>
      </c>
      <c r="B190" s="42" t="s">
        <v>131</v>
      </c>
      <c r="C190" s="42"/>
      <c r="D190" s="42" t="s">
        <v>999</v>
      </c>
      <c r="E190" s="42" t="s">
        <v>1000</v>
      </c>
      <c r="F190" s="280">
        <v>2006</v>
      </c>
      <c r="G190" s="42"/>
      <c r="H190" s="42" t="s">
        <v>137</v>
      </c>
      <c r="I190" s="42" t="s">
        <v>137</v>
      </c>
      <c r="J190" s="42">
        <v>2014</v>
      </c>
      <c r="K190" s="117">
        <v>5104</v>
      </c>
      <c r="L190" s="118">
        <v>0.125</v>
      </c>
      <c r="M190" s="119">
        <f t="shared" si="9"/>
        <v>638</v>
      </c>
      <c r="N190" s="269">
        <f t="shared" si="7"/>
        <v>4700.2954231061258</v>
      </c>
      <c r="O190" s="270">
        <f t="shared" si="8"/>
        <v>403.70457689387439</v>
      </c>
      <c r="P190" s="42"/>
      <c r="Q190" s="42"/>
      <c r="R190" s="42" t="s">
        <v>794</v>
      </c>
      <c r="S190" s="42" t="s">
        <v>139</v>
      </c>
      <c r="T190" s="43"/>
      <c r="U190" s="43"/>
    </row>
    <row r="191" spans="1:21">
      <c r="A191" s="42" t="s">
        <v>874</v>
      </c>
      <c r="B191" s="42" t="s">
        <v>131</v>
      </c>
      <c r="C191" s="42"/>
      <c r="D191" s="42" t="s">
        <v>1001</v>
      </c>
      <c r="E191" s="42" t="s">
        <v>281</v>
      </c>
      <c r="F191" s="280">
        <v>2006</v>
      </c>
      <c r="G191" s="42"/>
      <c r="H191" s="42" t="s">
        <v>137</v>
      </c>
      <c r="I191" s="42" t="s">
        <v>137</v>
      </c>
      <c r="J191" s="42">
        <v>2014</v>
      </c>
      <c r="K191" s="117">
        <v>5104</v>
      </c>
      <c r="L191" s="118">
        <v>0.125</v>
      </c>
      <c r="M191" s="119">
        <f t="shared" si="9"/>
        <v>638</v>
      </c>
      <c r="N191" s="269">
        <f t="shared" si="7"/>
        <v>4700.2954231061258</v>
      </c>
      <c r="O191" s="270">
        <f t="shared" si="8"/>
        <v>403.70457689387439</v>
      </c>
      <c r="P191" s="42"/>
      <c r="Q191" s="42"/>
      <c r="R191" s="42" t="s">
        <v>1002</v>
      </c>
      <c r="S191" s="42" t="s">
        <v>139</v>
      </c>
      <c r="T191" s="43"/>
      <c r="U191" s="43"/>
    </row>
    <row r="192" spans="1:21" ht="31.2">
      <c r="A192" s="42" t="s">
        <v>874</v>
      </c>
      <c r="B192" s="42" t="s">
        <v>131</v>
      </c>
      <c r="C192" s="42"/>
      <c r="D192" s="42" t="s">
        <v>1003</v>
      </c>
      <c r="E192" s="42" t="s">
        <v>1004</v>
      </c>
      <c r="F192" s="280">
        <v>2006</v>
      </c>
      <c r="G192" s="42"/>
      <c r="H192" s="42" t="s">
        <v>137</v>
      </c>
      <c r="I192" s="42" t="s">
        <v>137</v>
      </c>
      <c r="J192" s="42">
        <v>2014</v>
      </c>
      <c r="K192" s="117">
        <v>5104</v>
      </c>
      <c r="L192" s="118">
        <v>0.125</v>
      </c>
      <c r="M192" s="119">
        <f t="shared" si="9"/>
        <v>638</v>
      </c>
      <c r="N192" s="269">
        <f t="shared" si="7"/>
        <v>4700.2954231061258</v>
      </c>
      <c r="O192" s="270">
        <f t="shared" si="8"/>
        <v>403.70457689387439</v>
      </c>
      <c r="P192" s="42"/>
      <c r="Q192" s="42"/>
      <c r="R192" s="42" t="s">
        <v>231</v>
      </c>
      <c r="S192" s="42" t="s">
        <v>139</v>
      </c>
      <c r="T192" s="43"/>
      <c r="U192" s="43"/>
    </row>
    <row r="193" spans="1:21" ht="31.2">
      <c r="A193" s="42" t="s">
        <v>874</v>
      </c>
      <c r="B193" s="42" t="s">
        <v>131</v>
      </c>
      <c r="C193" s="42"/>
      <c r="D193" s="42" t="s">
        <v>1005</v>
      </c>
      <c r="E193" s="42" t="s">
        <v>1006</v>
      </c>
      <c r="F193" s="280">
        <v>2006</v>
      </c>
      <c r="G193" s="42"/>
      <c r="H193" s="42" t="s">
        <v>137</v>
      </c>
      <c r="I193" s="42" t="s">
        <v>137</v>
      </c>
      <c r="J193" s="42">
        <v>2014</v>
      </c>
      <c r="K193" s="117">
        <v>5104</v>
      </c>
      <c r="L193" s="118">
        <v>0.125</v>
      </c>
      <c r="M193" s="119">
        <f t="shared" si="9"/>
        <v>638</v>
      </c>
      <c r="N193" s="269">
        <f t="shared" si="7"/>
        <v>4700.2954231061258</v>
      </c>
      <c r="O193" s="270">
        <f t="shared" si="8"/>
        <v>403.70457689387439</v>
      </c>
      <c r="P193" s="42"/>
      <c r="Q193" s="42"/>
      <c r="R193" s="42" t="s">
        <v>301</v>
      </c>
      <c r="S193" s="42" t="s">
        <v>139</v>
      </c>
      <c r="T193" s="43"/>
      <c r="U193" s="43"/>
    </row>
    <row r="194" spans="1:21" ht="31.2">
      <c r="A194" s="42" t="s">
        <v>874</v>
      </c>
      <c r="B194" s="42" t="s">
        <v>131</v>
      </c>
      <c r="C194" s="42"/>
      <c r="D194" s="42" t="s">
        <v>1007</v>
      </c>
      <c r="E194" s="42" t="s">
        <v>1006</v>
      </c>
      <c r="F194" s="280">
        <v>2006</v>
      </c>
      <c r="G194" s="42"/>
      <c r="H194" s="42" t="s">
        <v>137</v>
      </c>
      <c r="I194" s="42" t="s">
        <v>137</v>
      </c>
      <c r="J194" s="42">
        <v>2014</v>
      </c>
      <c r="K194" s="117">
        <v>5104</v>
      </c>
      <c r="L194" s="118">
        <v>0.125</v>
      </c>
      <c r="M194" s="119">
        <f t="shared" si="9"/>
        <v>638</v>
      </c>
      <c r="N194" s="269">
        <f t="shared" si="7"/>
        <v>4700.2954231061258</v>
      </c>
      <c r="O194" s="270">
        <f t="shared" si="8"/>
        <v>403.70457689387439</v>
      </c>
      <c r="P194" s="42"/>
      <c r="Q194" s="42"/>
      <c r="R194" s="42" t="s">
        <v>231</v>
      </c>
      <c r="S194" s="42" t="s">
        <v>139</v>
      </c>
      <c r="T194" s="43"/>
      <c r="U194" s="43"/>
    </row>
    <row r="195" spans="1:21" ht="46.8">
      <c r="A195" s="42" t="s">
        <v>1008</v>
      </c>
      <c r="B195" s="42" t="s">
        <v>131</v>
      </c>
      <c r="C195" s="42"/>
      <c r="D195" s="42" t="s">
        <v>1009</v>
      </c>
      <c r="E195" s="42" t="s">
        <v>1010</v>
      </c>
      <c r="F195" s="280">
        <v>2006</v>
      </c>
      <c r="G195" s="42"/>
      <c r="H195" s="42" t="s">
        <v>137</v>
      </c>
      <c r="I195" s="42" t="s">
        <v>137</v>
      </c>
      <c r="J195" s="42">
        <v>2022</v>
      </c>
      <c r="K195" s="117">
        <v>211584</v>
      </c>
      <c r="L195" s="118">
        <v>0.125</v>
      </c>
      <c r="M195" s="119">
        <f t="shared" si="9"/>
        <v>26448</v>
      </c>
      <c r="N195" s="269">
        <f t="shared" ref="N195:N258" si="10">K195-O195</f>
        <v>194848.61026694486</v>
      </c>
      <c r="O195" s="270">
        <f t="shared" ref="O195:O258" si="11">K195*(1-L195)^(2025-F195)</f>
        <v>16735.389733055155</v>
      </c>
      <c r="P195" s="42"/>
      <c r="Q195" s="42"/>
      <c r="R195" s="42" t="s">
        <v>1011</v>
      </c>
      <c r="S195" s="42" t="s">
        <v>139</v>
      </c>
      <c r="T195" s="43"/>
      <c r="U195" s="43"/>
    </row>
    <row r="196" spans="1:21" ht="62.4">
      <c r="A196" s="42" t="s">
        <v>1012</v>
      </c>
      <c r="B196" s="42" t="s">
        <v>131</v>
      </c>
      <c r="C196" s="42"/>
      <c r="D196" s="42" t="s">
        <v>1013</v>
      </c>
      <c r="E196" s="42" t="s">
        <v>1014</v>
      </c>
      <c r="F196" s="280">
        <v>2006</v>
      </c>
      <c r="G196" s="42"/>
      <c r="H196" s="42" t="s">
        <v>137</v>
      </c>
      <c r="I196" s="42" t="s">
        <v>137</v>
      </c>
      <c r="J196" s="42">
        <v>2022</v>
      </c>
      <c r="K196" s="117">
        <v>139003</v>
      </c>
      <c r="L196" s="118">
        <v>0.125</v>
      </c>
      <c r="M196" s="119">
        <f t="shared" si="9"/>
        <v>17375.375</v>
      </c>
      <c r="N196" s="269">
        <f t="shared" si="10"/>
        <v>128008.45703331128</v>
      </c>
      <c r="O196" s="270">
        <f t="shared" si="11"/>
        <v>10994.542966688719</v>
      </c>
      <c r="P196" s="42"/>
      <c r="Q196" s="42"/>
      <c r="R196" s="42" t="s">
        <v>1011</v>
      </c>
      <c r="S196" s="42" t="s">
        <v>139</v>
      </c>
      <c r="T196" s="43"/>
      <c r="U196" s="43"/>
    </row>
    <row r="197" spans="1:21" ht="62.4">
      <c r="A197" s="42" t="s">
        <v>1015</v>
      </c>
      <c r="B197" s="42" t="s">
        <v>131</v>
      </c>
      <c r="C197" s="42"/>
      <c r="D197" s="42" t="s">
        <v>1016</v>
      </c>
      <c r="E197" s="42" t="s">
        <v>1017</v>
      </c>
      <c r="F197" s="280">
        <v>2006</v>
      </c>
      <c r="G197" s="42"/>
      <c r="H197" s="42" t="s">
        <v>137</v>
      </c>
      <c r="I197" s="42" t="s">
        <v>137</v>
      </c>
      <c r="J197" s="42">
        <v>2022</v>
      </c>
      <c r="K197" s="117">
        <v>44264</v>
      </c>
      <c r="L197" s="118">
        <v>0.125</v>
      </c>
      <c r="M197" s="119">
        <f t="shared" si="9"/>
        <v>5533</v>
      </c>
      <c r="N197" s="269">
        <f t="shared" si="10"/>
        <v>40762.906859006573</v>
      </c>
      <c r="O197" s="270">
        <f t="shared" si="11"/>
        <v>3501.0931409934278</v>
      </c>
      <c r="P197" s="42"/>
      <c r="Q197" s="42"/>
      <c r="R197" s="42" t="s">
        <v>1011</v>
      </c>
      <c r="S197" s="42" t="s">
        <v>139</v>
      </c>
      <c r="T197" s="43"/>
      <c r="U197" s="43"/>
    </row>
    <row r="198" spans="1:21" ht="62.4">
      <c r="A198" s="42" t="s">
        <v>1015</v>
      </c>
      <c r="B198" s="42" t="s">
        <v>131</v>
      </c>
      <c r="C198" s="42"/>
      <c r="D198" s="42" t="s">
        <v>1018</v>
      </c>
      <c r="E198" s="42" t="s">
        <v>1017</v>
      </c>
      <c r="F198" s="280">
        <v>2006</v>
      </c>
      <c r="G198" s="42"/>
      <c r="H198" s="42" t="s">
        <v>137</v>
      </c>
      <c r="I198" s="42" t="s">
        <v>137</v>
      </c>
      <c r="J198" s="42">
        <v>2022</v>
      </c>
      <c r="K198" s="117">
        <v>44264</v>
      </c>
      <c r="L198" s="118">
        <v>0.125</v>
      </c>
      <c r="M198" s="119">
        <f t="shared" si="9"/>
        <v>5533</v>
      </c>
      <c r="N198" s="269">
        <f t="shared" si="10"/>
        <v>40762.906859006573</v>
      </c>
      <c r="O198" s="270">
        <f t="shared" si="11"/>
        <v>3501.0931409934278</v>
      </c>
      <c r="P198" s="42"/>
      <c r="Q198" s="42"/>
      <c r="R198" s="42" t="s">
        <v>1011</v>
      </c>
      <c r="S198" s="42" t="s">
        <v>139</v>
      </c>
      <c r="T198" s="43"/>
      <c r="U198" s="43"/>
    </row>
    <row r="199" spans="1:21" ht="46.8">
      <c r="A199" s="42" t="s">
        <v>1015</v>
      </c>
      <c r="B199" s="42" t="s">
        <v>131</v>
      </c>
      <c r="C199" s="42"/>
      <c r="D199" s="42" t="s">
        <v>1019</v>
      </c>
      <c r="E199" s="42" t="s">
        <v>1020</v>
      </c>
      <c r="F199" s="280">
        <v>2006</v>
      </c>
      <c r="G199" s="42"/>
      <c r="H199" s="42" t="s">
        <v>137</v>
      </c>
      <c r="I199" s="42" t="s">
        <v>137</v>
      </c>
      <c r="J199" s="42">
        <v>2022</v>
      </c>
      <c r="K199" s="117">
        <v>15000</v>
      </c>
      <c r="L199" s="118">
        <v>0.125</v>
      </c>
      <c r="M199" s="119">
        <f t="shared" si="9"/>
        <v>1875</v>
      </c>
      <c r="N199" s="269">
        <f t="shared" si="10"/>
        <v>13813.564135304052</v>
      </c>
      <c r="O199" s="270">
        <f t="shared" si="11"/>
        <v>1186.4358646959474</v>
      </c>
      <c r="P199" s="42"/>
      <c r="Q199" s="42"/>
      <c r="R199" s="42" t="s">
        <v>1011</v>
      </c>
      <c r="S199" s="42" t="s">
        <v>139</v>
      </c>
      <c r="T199" s="43"/>
      <c r="U199" s="43"/>
    </row>
    <row r="200" spans="1:21" ht="46.8">
      <c r="A200" s="42" t="s">
        <v>1021</v>
      </c>
      <c r="B200" s="42" t="s">
        <v>131</v>
      </c>
      <c r="C200" s="42"/>
      <c r="D200" s="42" t="s">
        <v>1022</v>
      </c>
      <c r="E200" s="42" t="s">
        <v>1023</v>
      </c>
      <c r="F200" s="280">
        <v>2006</v>
      </c>
      <c r="G200" s="42"/>
      <c r="H200" s="42" t="s">
        <v>137</v>
      </c>
      <c r="I200" s="42" t="s">
        <v>137</v>
      </c>
      <c r="J200" s="42">
        <v>2022</v>
      </c>
      <c r="K200" s="117">
        <v>76422</v>
      </c>
      <c r="L200" s="118">
        <v>0.125</v>
      </c>
      <c r="M200" s="119">
        <f t="shared" si="9"/>
        <v>9552.75</v>
      </c>
      <c r="N200" s="269">
        <f t="shared" si="10"/>
        <v>70377.346556547083</v>
      </c>
      <c r="O200" s="270">
        <f t="shared" si="11"/>
        <v>6044.6534434529131</v>
      </c>
      <c r="P200" s="42"/>
      <c r="Q200" s="42"/>
      <c r="R200" s="42" t="s">
        <v>1011</v>
      </c>
      <c r="S200" s="42" t="s">
        <v>139</v>
      </c>
      <c r="T200" s="43"/>
      <c r="U200" s="43"/>
    </row>
    <row r="201" spans="1:21" ht="78">
      <c r="A201" s="42" t="s">
        <v>1024</v>
      </c>
      <c r="B201" s="42" t="s">
        <v>131</v>
      </c>
      <c r="C201" s="42"/>
      <c r="D201" s="42" t="s">
        <v>1025</v>
      </c>
      <c r="E201" s="42" t="s">
        <v>1026</v>
      </c>
      <c r="F201" s="280">
        <v>2006</v>
      </c>
      <c r="G201" s="42"/>
      <c r="H201" s="42" t="s">
        <v>137</v>
      </c>
      <c r="I201" s="42" t="s">
        <v>137</v>
      </c>
      <c r="J201" s="42">
        <v>2022</v>
      </c>
      <c r="K201" s="117">
        <v>356698</v>
      </c>
      <c r="L201" s="118">
        <v>0.125</v>
      </c>
      <c r="M201" s="119">
        <f t="shared" si="9"/>
        <v>44587.25</v>
      </c>
      <c r="N201" s="269">
        <f t="shared" si="10"/>
        <v>328484.71332897898</v>
      </c>
      <c r="O201" s="270">
        <f t="shared" si="11"/>
        <v>28213.286671021004</v>
      </c>
      <c r="P201" s="42"/>
      <c r="Q201" s="42"/>
      <c r="R201" s="42" t="s">
        <v>1011</v>
      </c>
      <c r="S201" s="42" t="s">
        <v>139</v>
      </c>
      <c r="T201" s="43"/>
      <c r="U201" s="43"/>
    </row>
    <row r="202" spans="1:21" ht="46.8">
      <c r="A202" s="42" t="s">
        <v>1008</v>
      </c>
      <c r="B202" s="42" t="s">
        <v>131</v>
      </c>
      <c r="C202" s="43"/>
      <c r="D202" s="42" t="s">
        <v>1027</v>
      </c>
      <c r="E202" s="42" t="s">
        <v>1028</v>
      </c>
      <c r="F202" s="280">
        <v>2006</v>
      </c>
      <c r="G202" s="43"/>
      <c r="H202" s="42" t="s">
        <v>137</v>
      </c>
      <c r="I202" s="42" t="s">
        <v>137</v>
      </c>
      <c r="J202" s="42">
        <v>2014</v>
      </c>
      <c r="K202" s="121">
        <v>160875</v>
      </c>
      <c r="L202" s="122">
        <v>0.125</v>
      </c>
      <c r="M202" s="119">
        <f t="shared" si="9"/>
        <v>20109.375</v>
      </c>
      <c r="N202" s="269">
        <f t="shared" si="10"/>
        <v>148150.47535113597</v>
      </c>
      <c r="O202" s="270">
        <f t="shared" si="11"/>
        <v>12724.524648864037</v>
      </c>
      <c r="P202" s="43"/>
      <c r="Q202" s="43"/>
      <c r="R202" s="42" t="s">
        <v>250</v>
      </c>
      <c r="S202" s="42" t="s">
        <v>139</v>
      </c>
      <c r="T202" s="43"/>
      <c r="U202" s="43"/>
    </row>
    <row r="203" spans="1:21" ht="31.2">
      <c r="A203" s="42" t="s">
        <v>884</v>
      </c>
      <c r="B203" s="42" t="s">
        <v>131</v>
      </c>
      <c r="C203" s="43"/>
      <c r="D203" s="42" t="s">
        <v>1029</v>
      </c>
      <c r="E203" s="42" t="s">
        <v>1030</v>
      </c>
      <c r="F203" s="280">
        <v>2006</v>
      </c>
      <c r="G203" s="43"/>
      <c r="H203" s="42" t="s">
        <v>137</v>
      </c>
      <c r="I203" s="42" t="s">
        <v>137</v>
      </c>
      <c r="J203" s="42">
        <v>2014</v>
      </c>
      <c r="K203" s="121">
        <v>17550</v>
      </c>
      <c r="L203" s="122">
        <v>0.125</v>
      </c>
      <c r="M203" s="119">
        <f t="shared" si="9"/>
        <v>2193.75</v>
      </c>
      <c r="N203" s="269">
        <f t="shared" si="10"/>
        <v>16161.870038305742</v>
      </c>
      <c r="O203" s="270">
        <f t="shared" si="11"/>
        <v>1388.1299616942586</v>
      </c>
      <c r="P203" s="43"/>
      <c r="Q203" s="43"/>
      <c r="R203" s="42" t="s">
        <v>250</v>
      </c>
      <c r="S203" s="42" t="s">
        <v>139</v>
      </c>
      <c r="T203" s="43"/>
      <c r="U203" s="43"/>
    </row>
    <row r="204" spans="1:21" ht="31.2">
      <c r="A204" s="42" t="s">
        <v>884</v>
      </c>
      <c r="B204" s="42" t="s">
        <v>131</v>
      </c>
      <c r="C204" s="42"/>
      <c r="D204" s="42" t="s">
        <v>1031</v>
      </c>
      <c r="E204" s="42" t="s">
        <v>1032</v>
      </c>
      <c r="F204" s="280">
        <v>2006</v>
      </c>
      <c r="G204" s="42"/>
      <c r="H204" s="42" t="s">
        <v>137</v>
      </c>
      <c r="I204" s="42" t="s">
        <v>137</v>
      </c>
      <c r="J204" s="42">
        <v>2014</v>
      </c>
      <c r="K204" s="117">
        <v>39825</v>
      </c>
      <c r="L204" s="118">
        <v>0.125</v>
      </c>
      <c r="M204" s="119">
        <f t="shared" si="9"/>
        <v>4978.125</v>
      </c>
      <c r="N204" s="269">
        <f t="shared" si="10"/>
        <v>36675.01277923226</v>
      </c>
      <c r="O204" s="270">
        <f t="shared" si="11"/>
        <v>3149.9872207677404</v>
      </c>
      <c r="P204" s="42"/>
      <c r="Q204" s="42"/>
      <c r="R204" s="42" t="s">
        <v>250</v>
      </c>
      <c r="S204" s="42" t="s">
        <v>139</v>
      </c>
      <c r="T204" s="43"/>
      <c r="U204" s="43"/>
    </row>
    <row r="205" spans="1:21" ht="31.2">
      <c r="A205" s="42" t="s">
        <v>884</v>
      </c>
      <c r="B205" s="42" t="s">
        <v>131</v>
      </c>
      <c r="C205" s="42"/>
      <c r="D205" s="42" t="s">
        <v>1033</v>
      </c>
      <c r="E205" s="42" t="s">
        <v>1034</v>
      </c>
      <c r="F205" s="280">
        <v>2006</v>
      </c>
      <c r="G205" s="42"/>
      <c r="H205" s="42" t="s">
        <v>137</v>
      </c>
      <c r="I205" s="42" t="s">
        <v>137</v>
      </c>
      <c r="J205" s="42">
        <v>2014</v>
      </c>
      <c r="K205" s="117">
        <v>39825</v>
      </c>
      <c r="L205" s="118">
        <v>0.125</v>
      </c>
      <c r="M205" s="119">
        <f t="shared" si="9"/>
        <v>4978.125</v>
      </c>
      <c r="N205" s="269">
        <f t="shared" si="10"/>
        <v>36675.01277923226</v>
      </c>
      <c r="O205" s="270">
        <f t="shared" si="11"/>
        <v>3149.9872207677404</v>
      </c>
      <c r="P205" s="42"/>
      <c r="Q205" s="42"/>
      <c r="R205" s="42" t="s">
        <v>250</v>
      </c>
      <c r="S205" s="42" t="s">
        <v>139</v>
      </c>
      <c r="T205" s="43"/>
      <c r="U205" s="43"/>
    </row>
    <row r="206" spans="1:21" ht="46.8">
      <c r="A206" s="42" t="s">
        <v>884</v>
      </c>
      <c r="B206" s="42" t="s">
        <v>131</v>
      </c>
      <c r="C206" s="42"/>
      <c r="D206" s="42" t="s">
        <v>1035</v>
      </c>
      <c r="E206" s="42" t="s">
        <v>1036</v>
      </c>
      <c r="F206" s="280">
        <v>2006</v>
      </c>
      <c r="G206" s="42"/>
      <c r="H206" s="42" t="s">
        <v>137</v>
      </c>
      <c r="I206" s="42" t="s">
        <v>137</v>
      </c>
      <c r="J206" s="42">
        <v>2014</v>
      </c>
      <c r="K206" s="117">
        <v>89320</v>
      </c>
      <c r="L206" s="118">
        <v>0.125</v>
      </c>
      <c r="M206" s="119">
        <f t="shared" si="9"/>
        <v>11165</v>
      </c>
      <c r="N206" s="269">
        <f t="shared" si="10"/>
        <v>82255.169904357201</v>
      </c>
      <c r="O206" s="270">
        <f t="shared" si="11"/>
        <v>7064.830095642802</v>
      </c>
      <c r="P206" s="42"/>
      <c r="Q206" s="42"/>
      <c r="R206" s="42" t="s">
        <v>250</v>
      </c>
      <c r="S206" s="42" t="s">
        <v>139</v>
      </c>
      <c r="T206" s="43"/>
      <c r="U206" s="43"/>
    </row>
    <row r="207" spans="1:21" ht="46.8">
      <c r="A207" s="42" t="s">
        <v>884</v>
      </c>
      <c r="B207" s="42" t="s">
        <v>131</v>
      </c>
      <c r="C207" s="42"/>
      <c r="D207" s="42" t="s">
        <v>1037</v>
      </c>
      <c r="E207" s="42" t="s">
        <v>1038</v>
      </c>
      <c r="F207" s="280">
        <v>2006</v>
      </c>
      <c r="G207" s="42"/>
      <c r="H207" s="42" t="s">
        <v>137</v>
      </c>
      <c r="I207" s="42" t="s">
        <v>137</v>
      </c>
      <c r="J207" s="42">
        <v>2014</v>
      </c>
      <c r="K207" s="117">
        <v>19000</v>
      </c>
      <c r="L207" s="118">
        <v>0.125</v>
      </c>
      <c r="M207" s="119">
        <f t="shared" si="9"/>
        <v>2375</v>
      </c>
      <c r="N207" s="269">
        <f t="shared" si="10"/>
        <v>17497.181238051799</v>
      </c>
      <c r="O207" s="270">
        <f t="shared" si="11"/>
        <v>1502.8187619482001</v>
      </c>
      <c r="P207" s="42"/>
      <c r="Q207" s="42"/>
      <c r="R207" s="42" t="s">
        <v>250</v>
      </c>
      <c r="S207" s="42" t="s">
        <v>139</v>
      </c>
      <c r="T207" s="43"/>
      <c r="U207" s="43"/>
    </row>
    <row r="208" spans="1:21" ht="46.8">
      <c r="A208" s="42" t="s">
        <v>884</v>
      </c>
      <c r="B208" s="42" t="s">
        <v>131</v>
      </c>
      <c r="C208" s="42"/>
      <c r="D208" s="42" t="s">
        <v>1039</v>
      </c>
      <c r="E208" s="42" t="s">
        <v>1038</v>
      </c>
      <c r="F208" s="280">
        <v>2006</v>
      </c>
      <c r="G208" s="42"/>
      <c r="H208" s="42" t="s">
        <v>137</v>
      </c>
      <c r="I208" s="42" t="s">
        <v>137</v>
      </c>
      <c r="J208" s="42">
        <v>2014</v>
      </c>
      <c r="K208" s="117">
        <v>19000</v>
      </c>
      <c r="L208" s="118">
        <v>0.125</v>
      </c>
      <c r="M208" s="119">
        <f t="shared" si="9"/>
        <v>2375</v>
      </c>
      <c r="N208" s="269">
        <f t="shared" si="10"/>
        <v>17497.181238051799</v>
      </c>
      <c r="O208" s="270">
        <f t="shared" si="11"/>
        <v>1502.8187619482001</v>
      </c>
      <c r="P208" s="42"/>
      <c r="Q208" s="42"/>
      <c r="R208" s="42" t="s">
        <v>250</v>
      </c>
      <c r="S208" s="42" t="s">
        <v>139</v>
      </c>
      <c r="T208" s="43"/>
      <c r="U208" s="43"/>
    </row>
    <row r="209" spans="1:21" ht="62.4">
      <c r="A209" s="42" t="s">
        <v>884</v>
      </c>
      <c r="B209" s="42" t="s">
        <v>131</v>
      </c>
      <c r="C209" s="42"/>
      <c r="D209" s="42" t="s">
        <v>1040</v>
      </c>
      <c r="E209" s="42" t="s">
        <v>1041</v>
      </c>
      <c r="F209" s="280">
        <v>2006</v>
      </c>
      <c r="G209" s="42"/>
      <c r="H209" s="42" t="s">
        <v>137</v>
      </c>
      <c r="I209" s="42" t="s">
        <v>137</v>
      </c>
      <c r="J209" s="42">
        <v>2030</v>
      </c>
      <c r="K209" s="117">
        <v>300000</v>
      </c>
      <c r="L209" s="118">
        <v>0.125</v>
      </c>
      <c r="M209" s="119">
        <f t="shared" si="9"/>
        <v>37500</v>
      </c>
      <c r="N209" s="269">
        <f t="shared" si="10"/>
        <v>276271.28270608105</v>
      </c>
      <c r="O209" s="270">
        <f t="shared" si="11"/>
        <v>23728.717293918948</v>
      </c>
      <c r="P209" s="42"/>
      <c r="Q209" s="42"/>
      <c r="R209" s="42" t="s">
        <v>250</v>
      </c>
      <c r="S209" s="42" t="s">
        <v>139</v>
      </c>
      <c r="T209" s="43"/>
      <c r="U209" s="43"/>
    </row>
    <row r="210" spans="1:21" ht="93.6">
      <c r="A210" s="42" t="s">
        <v>1012</v>
      </c>
      <c r="B210" s="42" t="s">
        <v>131</v>
      </c>
      <c r="C210" s="42"/>
      <c r="D210" s="42" t="s">
        <v>1042</v>
      </c>
      <c r="E210" s="42" t="s">
        <v>1043</v>
      </c>
      <c r="F210" s="280">
        <v>2006</v>
      </c>
      <c r="G210" s="42"/>
      <c r="H210" s="42" t="s">
        <v>137</v>
      </c>
      <c r="I210" s="42" t="s">
        <v>137</v>
      </c>
      <c r="J210" s="42">
        <v>2023</v>
      </c>
      <c r="K210" s="117">
        <f>217152</f>
        <v>217152</v>
      </c>
      <c r="L210" s="118">
        <v>0.125</v>
      </c>
      <c r="M210" s="119">
        <f t="shared" si="9"/>
        <v>27144</v>
      </c>
      <c r="N210" s="269">
        <f t="shared" si="10"/>
        <v>199976.20527396971</v>
      </c>
      <c r="O210" s="270">
        <f t="shared" si="11"/>
        <v>17175.794726030294</v>
      </c>
      <c r="P210" s="42"/>
      <c r="Q210" s="42"/>
      <c r="R210" s="42" t="s">
        <v>250</v>
      </c>
      <c r="S210" s="42" t="s">
        <v>139</v>
      </c>
      <c r="T210" s="43"/>
      <c r="U210" s="43"/>
    </row>
    <row r="211" spans="1:21" ht="93.6">
      <c r="A211" s="42" t="s">
        <v>1012</v>
      </c>
      <c r="B211" s="42" t="s">
        <v>131</v>
      </c>
      <c r="C211" s="42"/>
      <c r="D211" s="42" t="s">
        <v>1044</v>
      </c>
      <c r="E211" s="42" t="s">
        <v>1045</v>
      </c>
      <c r="F211" s="280">
        <v>2006</v>
      </c>
      <c r="G211" s="42"/>
      <c r="H211" s="42" t="s">
        <v>137</v>
      </c>
      <c r="I211" s="42" t="s">
        <v>137</v>
      </c>
      <c r="J211" s="42">
        <v>2023</v>
      </c>
      <c r="K211" s="117">
        <v>325728</v>
      </c>
      <c r="L211" s="118">
        <v>0.125</v>
      </c>
      <c r="M211" s="119">
        <f t="shared" si="9"/>
        <v>40716</v>
      </c>
      <c r="N211" s="269">
        <f t="shared" si="10"/>
        <v>299964.30791095458</v>
      </c>
      <c r="O211" s="270">
        <f t="shared" si="11"/>
        <v>25763.692089045438</v>
      </c>
      <c r="P211" s="42"/>
      <c r="Q211" s="42"/>
      <c r="R211" s="42" t="s">
        <v>250</v>
      </c>
      <c r="S211" s="42" t="s">
        <v>139</v>
      </c>
      <c r="T211" s="43"/>
      <c r="U211" s="43"/>
    </row>
    <row r="212" spans="1:21" ht="31.2">
      <c r="A212" s="42" t="s">
        <v>1008</v>
      </c>
      <c r="B212" s="42" t="s">
        <v>131</v>
      </c>
      <c r="C212" s="42"/>
      <c r="D212" s="42" t="s">
        <v>885</v>
      </c>
      <c r="E212" s="42" t="s">
        <v>886</v>
      </c>
      <c r="F212" s="280">
        <v>2006</v>
      </c>
      <c r="G212" s="42"/>
      <c r="H212" s="42" t="s">
        <v>137</v>
      </c>
      <c r="I212" s="42" t="s">
        <v>137</v>
      </c>
      <c r="J212" s="42">
        <v>2014</v>
      </c>
      <c r="K212" s="117">
        <v>47775</v>
      </c>
      <c r="L212" s="118">
        <v>0.125</v>
      </c>
      <c r="M212" s="119">
        <f t="shared" si="9"/>
        <v>5971.875</v>
      </c>
      <c r="N212" s="269">
        <f t="shared" si="10"/>
        <v>43996.201770943408</v>
      </c>
      <c r="O212" s="270">
        <f t="shared" si="11"/>
        <v>3778.7982290565928</v>
      </c>
      <c r="P212" s="42"/>
      <c r="Q212" s="42"/>
      <c r="R212" s="42" t="s">
        <v>766</v>
      </c>
      <c r="S212" s="42" t="s">
        <v>139</v>
      </c>
      <c r="T212" s="43"/>
      <c r="U212" s="43"/>
    </row>
    <row r="213" spans="1:21">
      <c r="A213" s="42" t="s">
        <v>884</v>
      </c>
      <c r="B213" s="42" t="s">
        <v>131</v>
      </c>
      <c r="C213" s="42"/>
      <c r="D213" s="42" t="s">
        <v>1046</v>
      </c>
      <c r="E213" s="42" t="s">
        <v>888</v>
      </c>
      <c r="F213" s="280">
        <v>2006</v>
      </c>
      <c r="G213" s="42"/>
      <c r="H213" s="42" t="s">
        <v>137</v>
      </c>
      <c r="I213" s="42" t="s">
        <v>137</v>
      </c>
      <c r="J213" s="42">
        <v>2014</v>
      </c>
      <c r="K213" s="117">
        <v>6000</v>
      </c>
      <c r="L213" s="118">
        <v>0.125</v>
      </c>
      <c r="M213" s="119">
        <f t="shared" ref="M213:M255" si="12">K213*L213</f>
        <v>750</v>
      </c>
      <c r="N213" s="269">
        <f t="shared" si="10"/>
        <v>5525.4256541216209</v>
      </c>
      <c r="O213" s="270">
        <f t="shared" si="11"/>
        <v>474.57434587837901</v>
      </c>
      <c r="P213" s="42"/>
      <c r="Q213" s="42"/>
      <c r="R213" s="42" t="s">
        <v>975</v>
      </c>
      <c r="S213" s="42" t="s">
        <v>139</v>
      </c>
      <c r="T213" s="43"/>
      <c r="U213" s="43"/>
    </row>
    <row r="214" spans="1:21" ht="62.4">
      <c r="A214" s="42" t="s">
        <v>901</v>
      </c>
      <c r="B214" s="42" t="s">
        <v>131</v>
      </c>
      <c r="C214" s="42" t="s">
        <v>181</v>
      </c>
      <c r="D214" s="42" t="s">
        <v>1047</v>
      </c>
      <c r="E214" s="42" t="s">
        <v>1048</v>
      </c>
      <c r="F214" s="280">
        <v>2006</v>
      </c>
      <c r="G214" s="42"/>
      <c r="H214" s="42" t="s">
        <v>137</v>
      </c>
      <c r="I214" s="42" t="s">
        <v>137</v>
      </c>
      <c r="J214" s="42">
        <v>2016</v>
      </c>
      <c r="K214" s="117">
        <v>3060</v>
      </c>
      <c r="L214" s="118">
        <v>0.125</v>
      </c>
      <c r="M214" s="119">
        <f t="shared" si="12"/>
        <v>382.5</v>
      </c>
      <c r="N214" s="269">
        <f t="shared" si="10"/>
        <v>2817.9670836020268</v>
      </c>
      <c r="O214" s="270">
        <f t="shared" si="11"/>
        <v>242.03291639797328</v>
      </c>
      <c r="P214" s="42"/>
      <c r="Q214" s="42"/>
      <c r="R214" s="42" t="s">
        <v>223</v>
      </c>
      <c r="S214" s="42" t="s">
        <v>139</v>
      </c>
      <c r="T214" s="43"/>
      <c r="U214" s="43"/>
    </row>
    <row r="215" spans="1:21" ht="62.4">
      <c r="A215" s="42" t="s">
        <v>901</v>
      </c>
      <c r="B215" s="42" t="s">
        <v>131</v>
      </c>
      <c r="C215" s="42" t="s">
        <v>181</v>
      </c>
      <c r="D215" s="42" t="s">
        <v>1049</v>
      </c>
      <c r="E215" s="42" t="s">
        <v>1048</v>
      </c>
      <c r="F215" s="280">
        <v>2006</v>
      </c>
      <c r="G215" s="42"/>
      <c r="H215" s="42" t="s">
        <v>137</v>
      </c>
      <c r="I215" s="42" t="s">
        <v>137</v>
      </c>
      <c r="J215" s="42">
        <v>2016</v>
      </c>
      <c r="K215" s="117">
        <v>3060</v>
      </c>
      <c r="L215" s="118">
        <v>0.125</v>
      </c>
      <c r="M215" s="119">
        <f t="shared" si="12"/>
        <v>382.5</v>
      </c>
      <c r="N215" s="269">
        <f t="shared" si="10"/>
        <v>2817.9670836020268</v>
      </c>
      <c r="O215" s="270">
        <f t="shared" si="11"/>
        <v>242.03291639797328</v>
      </c>
      <c r="P215" s="42"/>
      <c r="Q215" s="42"/>
      <c r="R215" s="42" t="s">
        <v>223</v>
      </c>
      <c r="S215" s="42" t="s">
        <v>139</v>
      </c>
      <c r="T215" s="43"/>
      <c r="U215" s="43"/>
    </row>
    <row r="216" spans="1:21" ht="62.4">
      <c r="A216" s="42" t="s">
        <v>901</v>
      </c>
      <c r="B216" s="42" t="s">
        <v>131</v>
      </c>
      <c r="C216" s="42" t="s">
        <v>181</v>
      </c>
      <c r="D216" s="42" t="s">
        <v>1050</v>
      </c>
      <c r="E216" s="42" t="s">
        <v>1048</v>
      </c>
      <c r="F216" s="280">
        <v>2006</v>
      </c>
      <c r="G216" s="42"/>
      <c r="H216" s="42" t="s">
        <v>137</v>
      </c>
      <c r="I216" s="42" t="s">
        <v>137</v>
      </c>
      <c r="J216" s="42">
        <v>2016</v>
      </c>
      <c r="K216" s="117">
        <v>3060</v>
      </c>
      <c r="L216" s="118">
        <v>0.125</v>
      </c>
      <c r="M216" s="119">
        <f t="shared" si="12"/>
        <v>382.5</v>
      </c>
      <c r="N216" s="269">
        <f t="shared" si="10"/>
        <v>2817.9670836020268</v>
      </c>
      <c r="O216" s="270">
        <f t="shared" si="11"/>
        <v>242.03291639797328</v>
      </c>
      <c r="P216" s="42"/>
      <c r="Q216" s="42"/>
      <c r="R216" s="42" t="s">
        <v>1051</v>
      </c>
      <c r="S216" s="42" t="s">
        <v>139</v>
      </c>
      <c r="T216" s="43"/>
      <c r="U216" s="43"/>
    </row>
    <row r="217" spans="1:21" ht="62.4">
      <c r="A217" s="42" t="s">
        <v>901</v>
      </c>
      <c r="B217" s="42" t="s">
        <v>131</v>
      </c>
      <c r="C217" s="42" t="s">
        <v>181</v>
      </c>
      <c r="D217" s="42" t="s">
        <v>1052</v>
      </c>
      <c r="E217" s="42" t="s">
        <v>1048</v>
      </c>
      <c r="F217" s="280">
        <v>2006</v>
      </c>
      <c r="G217" s="42"/>
      <c r="H217" s="42" t="s">
        <v>137</v>
      </c>
      <c r="I217" s="42" t="s">
        <v>137</v>
      </c>
      <c r="J217" s="42">
        <v>2016</v>
      </c>
      <c r="K217" s="117">
        <v>3060</v>
      </c>
      <c r="L217" s="118">
        <v>0.125</v>
      </c>
      <c r="M217" s="119">
        <f t="shared" si="12"/>
        <v>382.5</v>
      </c>
      <c r="N217" s="269">
        <f t="shared" si="10"/>
        <v>2817.9670836020268</v>
      </c>
      <c r="O217" s="270">
        <f t="shared" si="11"/>
        <v>242.03291639797328</v>
      </c>
      <c r="P217" s="42"/>
      <c r="Q217" s="42"/>
      <c r="R217" s="42" t="s">
        <v>1051</v>
      </c>
      <c r="S217" s="42" t="s">
        <v>139</v>
      </c>
      <c r="T217" s="43"/>
      <c r="U217" s="43"/>
    </row>
    <row r="218" spans="1:21" ht="62.4">
      <c r="A218" s="42" t="s">
        <v>901</v>
      </c>
      <c r="B218" s="42" t="s">
        <v>131</v>
      </c>
      <c r="C218" s="42" t="s">
        <v>181</v>
      </c>
      <c r="D218" s="42" t="s">
        <v>831</v>
      </c>
      <c r="E218" s="42" t="s">
        <v>1048</v>
      </c>
      <c r="F218" s="280">
        <v>2006</v>
      </c>
      <c r="G218" s="42"/>
      <c r="H218" s="42" t="s">
        <v>137</v>
      </c>
      <c r="I218" s="42" t="s">
        <v>137</v>
      </c>
      <c r="J218" s="42">
        <v>2016</v>
      </c>
      <c r="K218" s="117">
        <v>3060</v>
      </c>
      <c r="L218" s="118">
        <v>0.125</v>
      </c>
      <c r="M218" s="119">
        <f t="shared" si="12"/>
        <v>382.5</v>
      </c>
      <c r="N218" s="269">
        <f t="shared" si="10"/>
        <v>2817.9670836020268</v>
      </c>
      <c r="O218" s="270">
        <f t="shared" si="11"/>
        <v>242.03291639797328</v>
      </c>
      <c r="P218" s="42"/>
      <c r="Q218" s="42"/>
      <c r="R218" s="42" t="s">
        <v>235</v>
      </c>
      <c r="S218" s="42" t="s">
        <v>139</v>
      </c>
      <c r="T218" s="43"/>
      <c r="U218" s="43"/>
    </row>
    <row r="219" spans="1:21" ht="62.4">
      <c r="A219" s="42" t="s">
        <v>901</v>
      </c>
      <c r="B219" s="42" t="s">
        <v>131</v>
      </c>
      <c r="C219" s="42" t="s">
        <v>181</v>
      </c>
      <c r="D219" s="42" t="s">
        <v>1053</v>
      </c>
      <c r="E219" s="42" t="s">
        <v>1054</v>
      </c>
      <c r="F219" s="280">
        <v>2009</v>
      </c>
      <c r="G219" s="42"/>
      <c r="H219" s="42" t="s">
        <v>137</v>
      </c>
      <c r="I219" s="42" t="s">
        <v>137</v>
      </c>
      <c r="J219" s="42">
        <v>2018</v>
      </c>
      <c r="K219" s="117">
        <v>40732</v>
      </c>
      <c r="L219" s="118">
        <v>0.125</v>
      </c>
      <c r="M219" s="119">
        <v>5091.5</v>
      </c>
      <c r="N219" s="269">
        <f t="shared" si="10"/>
        <v>35922.891411450495</v>
      </c>
      <c r="O219" s="270">
        <f t="shared" si="11"/>
        <v>4809.1085885495058</v>
      </c>
      <c r="P219" s="42"/>
      <c r="Q219" s="42"/>
      <c r="R219" s="42" t="s">
        <v>692</v>
      </c>
      <c r="S219" s="42"/>
      <c r="T219" s="43"/>
      <c r="U219" s="43"/>
    </row>
    <row r="220" spans="1:21" ht="62.4">
      <c r="A220" s="42" t="s">
        <v>901</v>
      </c>
      <c r="B220" s="42" t="s">
        <v>131</v>
      </c>
      <c r="C220" s="42" t="s">
        <v>181</v>
      </c>
      <c r="D220" s="42" t="s">
        <v>1056</v>
      </c>
      <c r="E220" s="42" t="s">
        <v>1057</v>
      </c>
      <c r="F220" s="280">
        <v>2009</v>
      </c>
      <c r="G220" s="42"/>
      <c r="H220" s="42" t="s">
        <v>137</v>
      </c>
      <c r="I220" s="42" t="s">
        <v>137</v>
      </c>
      <c r="J220" s="42">
        <v>2018</v>
      </c>
      <c r="K220" s="117">
        <v>40732</v>
      </c>
      <c r="L220" s="118">
        <v>0.125</v>
      </c>
      <c r="M220" s="119">
        <v>5091.5</v>
      </c>
      <c r="N220" s="269">
        <f t="shared" si="10"/>
        <v>35922.891411450495</v>
      </c>
      <c r="O220" s="270">
        <f t="shared" si="11"/>
        <v>4809.1085885495058</v>
      </c>
      <c r="P220" s="42"/>
      <c r="Q220" s="42"/>
      <c r="R220" s="42" t="s">
        <v>692</v>
      </c>
      <c r="S220" s="42"/>
      <c r="T220" s="43"/>
      <c r="U220" s="43"/>
    </row>
    <row r="221" spans="1:21" s="47" customFormat="1" ht="62.4">
      <c r="A221" s="120" t="s">
        <v>901</v>
      </c>
      <c r="B221" s="120" t="s">
        <v>131</v>
      </c>
      <c r="C221" s="42" t="s">
        <v>181</v>
      </c>
      <c r="D221" s="120" t="s">
        <v>1058</v>
      </c>
      <c r="E221" s="120" t="s">
        <v>1054</v>
      </c>
      <c r="F221" s="280">
        <v>2009</v>
      </c>
      <c r="G221" s="120"/>
      <c r="H221" s="120" t="s">
        <v>137</v>
      </c>
      <c r="I221" s="120" t="s">
        <v>137</v>
      </c>
      <c r="J221" s="120">
        <v>2018</v>
      </c>
      <c r="K221" s="123">
        <v>40732</v>
      </c>
      <c r="L221" s="124">
        <v>0.125</v>
      </c>
      <c r="M221" s="125">
        <f>K221*L221</f>
        <v>5091.5</v>
      </c>
      <c r="N221" s="269">
        <f t="shared" si="10"/>
        <v>35922.891411450495</v>
      </c>
      <c r="O221" s="270">
        <f t="shared" si="11"/>
        <v>4809.1085885495058</v>
      </c>
      <c r="P221" s="120"/>
      <c r="Q221" s="120"/>
      <c r="R221" s="120" t="s">
        <v>692</v>
      </c>
      <c r="S221" s="120"/>
      <c r="T221" s="126"/>
      <c r="U221" s="126"/>
    </row>
    <row r="222" spans="1:21" ht="62.4">
      <c r="A222" s="42" t="s">
        <v>901</v>
      </c>
      <c r="B222" s="42" t="s">
        <v>131</v>
      </c>
      <c r="C222" s="42" t="s">
        <v>181</v>
      </c>
      <c r="D222" s="42" t="s">
        <v>1059</v>
      </c>
      <c r="E222" s="42" t="s">
        <v>1057</v>
      </c>
      <c r="F222" s="280">
        <v>2009</v>
      </c>
      <c r="G222" s="42"/>
      <c r="H222" s="42" t="s">
        <v>137</v>
      </c>
      <c r="I222" s="42" t="s">
        <v>137</v>
      </c>
      <c r="J222" s="42">
        <v>2018</v>
      </c>
      <c r="K222" s="117">
        <v>40732</v>
      </c>
      <c r="L222" s="118">
        <v>0.125</v>
      </c>
      <c r="M222" s="119">
        <v>5091.5</v>
      </c>
      <c r="N222" s="269">
        <f t="shared" si="10"/>
        <v>35922.891411450495</v>
      </c>
      <c r="O222" s="270">
        <f t="shared" si="11"/>
        <v>4809.1085885495058</v>
      </c>
      <c r="P222" s="42"/>
      <c r="Q222" s="42"/>
      <c r="R222" s="42" t="s">
        <v>692</v>
      </c>
      <c r="S222" s="42"/>
      <c r="T222" s="43"/>
      <c r="U222" s="43"/>
    </row>
    <row r="223" spans="1:21" s="47" customFormat="1" ht="46.8">
      <c r="A223" s="120" t="s">
        <v>901</v>
      </c>
      <c r="B223" s="120" t="s">
        <v>131</v>
      </c>
      <c r="C223" s="42" t="s">
        <v>181</v>
      </c>
      <c r="D223" s="120" t="s">
        <v>1060</v>
      </c>
      <c r="E223" s="120" t="s">
        <v>1061</v>
      </c>
      <c r="F223" s="280">
        <v>2009</v>
      </c>
      <c r="G223" s="120"/>
      <c r="H223" s="120" t="s">
        <v>137</v>
      </c>
      <c r="I223" s="120" t="s">
        <v>137</v>
      </c>
      <c r="J223" s="120">
        <v>2018</v>
      </c>
      <c r="K223" s="123">
        <v>40732</v>
      </c>
      <c r="L223" s="124">
        <v>0.125</v>
      </c>
      <c r="M223" s="125">
        <f>K223*L223</f>
        <v>5091.5</v>
      </c>
      <c r="N223" s="269">
        <f t="shared" si="10"/>
        <v>35922.891411450495</v>
      </c>
      <c r="O223" s="270">
        <f t="shared" si="11"/>
        <v>4809.1085885495058</v>
      </c>
      <c r="P223" s="120"/>
      <c r="Q223" s="120"/>
      <c r="R223" s="120" t="s">
        <v>692</v>
      </c>
      <c r="S223" s="120"/>
      <c r="T223" s="126"/>
      <c r="U223" s="126"/>
    </row>
    <row r="224" spans="1:21" s="47" customFormat="1" ht="62.4">
      <c r="A224" s="120" t="s">
        <v>901</v>
      </c>
      <c r="B224" s="120" t="s">
        <v>131</v>
      </c>
      <c r="C224" s="42" t="s">
        <v>181</v>
      </c>
      <c r="D224" s="120" t="s">
        <v>1062</v>
      </c>
      <c r="E224" s="120" t="s">
        <v>1054</v>
      </c>
      <c r="F224" s="280">
        <v>2009</v>
      </c>
      <c r="G224" s="120"/>
      <c r="H224" s="120" t="s">
        <v>137</v>
      </c>
      <c r="I224" s="120" t="s">
        <v>137</v>
      </c>
      <c r="J224" s="120">
        <v>2018</v>
      </c>
      <c r="K224" s="123">
        <v>40732</v>
      </c>
      <c r="L224" s="124">
        <v>0.125</v>
      </c>
      <c r="M224" s="125">
        <f t="shared" si="12"/>
        <v>5091.5</v>
      </c>
      <c r="N224" s="269">
        <f t="shared" si="10"/>
        <v>35922.891411450495</v>
      </c>
      <c r="O224" s="270">
        <f t="shared" si="11"/>
        <v>4809.1085885495058</v>
      </c>
      <c r="P224" s="120"/>
      <c r="Q224" s="120"/>
      <c r="R224" s="120" t="s">
        <v>692</v>
      </c>
      <c r="S224" s="120"/>
      <c r="T224" s="126"/>
      <c r="U224" s="126"/>
    </row>
    <row r="225" spans="1:21" ht="46.8">
      <c r="A225" s="42" t="s">
        <v>901</v>
      </c>
      <c r="B225" s="42" t="s">
        <v>131</v>
      </c>
      <c r="C225" s="42" t="s">
        <v>181</v>
      </c>
      <c r="D225" s="42" t="s">
        <v>846</v>
      </c>
      <c r="E225" s="42" t="s">
        <v>1063</v>
      </c>
      <c r="F225" s="280">
        <v>2010</v>
      </c>
      <c r="G225" s="42"/>
      <c r="H225" s="42" t="s">
        <v>137</v>
      </c>
      <c r="I225" s="42" t="s">
        <v>137</v>
      </c>
      <c r="J225" s="42">
        <v>2019</v>
      </c>
      <c r="K225" s="117">
        <v>12078</v>
      </c>
      <c r="L225" s="118">
        <v>0.125</v>
      </c>
      <c r="M225" s="119">
        <f t="shared" si="12"/>
        <v>1509.75</v>
      </c>
      <c r="N225" s="269">
        <f t="shared" si="10"/>
        <v>10448.26939766555</v>
      </c>
      <c r="O225" s="270">
        <f t="shared" si="11"/>
        <v>1629.730602334449</v>
      </c>
      <c r="P225" s="42"/>
      <c r="Q225" s="42"/>
      <c r="R225" s="42" t="s">
        <v>333</v>
      </c>
      <c r="S225" s="42"/>
      <c r="T225" s="43"/>
      <c r="U225" s="43"/>
    </row>
    <row r="226" spans="1:21" ht="46.8">
      <c r="A226" s="42" t="s">
        <v>901</v>
      </c>
      <c r="B226" s="42" t="s">
        <v>131</v>
      </c>
      <c r="C226" s="42" t="s">
        <v>181</v>
      </c>
      <c r="D226" s="42" t="s">
        <v>885</v>
      </c>
      <c r="E226" s="42" t="s">
        <v>1064</v>
      </c>
      <c r="F226" s="280">
        <v>2010</v>
      </c>
      <c r="G226" s="42"/>
      <c r="H226" s="42" t="s">
        <v>137</v>
      </c>
      <c r="I226" s="42" t="s">
        <v>137</v>
      </c>
      <c r="J226" s="42">
        <v>2019</v>
      </c>
      <c r="K226" s="117">
        <v>26070</v>
      </c>
      <c r="L226" s="118">
        <v>0.125</v>
      </c>
      <c r="M226" s="119">
        <f t="shared" si="12"/>
        <v>3258.75</v>
      </c>
      <c r="N226" s="269">
        <f t="shared" si="10"/>
        <v>22552.275475835479</v>
      </c>
      <c r="O226" s="270">
        <f t="shared" si="11"/>
        <v>3517.7245241645214</v>
      </c>
      <c r="P226" s="42"/>
      <c r="Q226" s="42"/>
      <c r="R226" s="42" t="s">
        <v>766</v>
      </c>
      <c r="S226" s="42"/>
      <c r="T226" s="43"/>
      <c r="U226" s="43"/>
    </row>
    <row r="227" spans="1:21" ht="78">
      <c r="A227" s="42" t="s">
        <v>901</v>
      </c>
      <c r="B227" s="42" t="s">
        <v>131</v>
      </c>
      <c r="C227" s="42" t="s">
        <v>181</v>
      </c>
      <c r="D227" s="42" t="s">
        <v>1065</v>
      </c>
      <c r="E227" s="42" t="s">
        <v>1066</v>
      </c>
      <c r="F227" s="280">
        <v>2010</v>
      </c>
      <c r="G227" s="42"/>
      <c r="H227" s="42" t="s">
        <v>137</v>
      </c>
      <c r="I227" s="42" t="s">
        <v>137</v>
      </c>
      <c r="J227" s="42">
        <v>2030</v>
      </c>
      <c r="K227" s="117">
        <v>34105</v>
      </c>
      <c r="L227" s="118">
        <v>0.125</v>
      </c>
      <c r="M227" s="119">
        <f t="shared" si="12"/>
        <v>4263.125</v>
      </c>
      <c r="N227" s="269">
        <f t="shared" si="10"/>
        <v>29503.08228244607</v>
      </c>
      <c r="O227" s="270">
        <f t="shared" si="11"/>
        <v>4601.9177175539317</v>
      </c>
      <c r="P227" s="42"/>
      <c r="Q227" s="42"/>
      <c r="R227" s="42" t="s">
        <v>301</v>
      </c>
      <c r="S227" s="42" t="s">
        <v>139</v>
      </c>
      <c r="T227" s="43"/>
      <c r="U227" s="43"/>
    </row>
    <row r="228" spans="1:21" ht="78">
      <c r="A228" s="42" t="s">
        <v>901</v>
      </c>
      <c r="B228" s="42" t="s">
        <v>131</v>
      </c>
      <c r="C228" s="42" t="s">
        <v>181</v>
      </c>
      <c r="D228" s="42" t="s">
        <v>1067</v>
      </c>
      <c r="E228" s="42" t="s">
        <v>1066</v>
      </c>
      <c r="F228" s="280">
        <v>2010</v>
      </c>
      <c r="G228" s="42"/>
      <c r="H228" s="42" t="s">
        <v>137</v>
      </c>
      <c r="I228" s="42" t="s">
        <v>137</v>
      </c>
      <c r="J228" s="42">
        <v>2030</v>
      </c>
      <c r="K228" s="117">
        <v>34105</v>
      </c>
      <c r="L228" s="118">
        <v>0.125</v>
      </c>
      <c r="M228" s="119">
        <f t="shared" si="12"/>
        <v>4263.125</v>
      </c>
      <c r="N228" s="269">
        <f t="shared" si="10"/>
        <v>29503.08228244607</v>
      </c>
      <c r="O228" s="270">
        <f t="shared" si="11"/>
        <v>4601.9177175539317</v>
      </c>
      <c r="P228" s="42"/>
      <c r="Q228" s="42"/>
      <c r="R228" s="42" t="s">
        <v>351</v>
      </c>
      <c r="S228" s="42" t="s">
        <v>139</v>
      </c>
      <c r="T228" s="43"/>
      <c r="U228" s="43"/>
    </row>
    <row r="229" spans="1:21" ht="78">
      <c r="A229" s="42" t="s">
        <v>901</v>
      </c>
      <c r="B229" s="42"/>
      <c r="C229" s="42"/>
      <c r="D229" s="42" t="s">
        <v>1068</v>
      </c>
      <c r="E229" s="42" t="s">
        <v>1066</v>
      </c>
      <c r="F229" s="280">
        <v>2010</v>
      </c>
      <c r="G229" s="42"/>
      <c r="H229" s="42" t="s">
        <v>137</v>
      </c>
      <c r="I229" s="42" t="s">
        <v>137</v>
      </c>
      <c r="J229" s="42">
        <v>2030</v>
      </c>
      <c r="K229" s="117">
        <v>34105</v>
      </c>
      <c r="L229" s="118">
        <v>0.125</v>
      </c>
      <c r="M229" s="119">
        <f t="shared" si="12"/>
        <v>4263.125</v>
      </c>
      <c r="N229" s="269">
        <f t="shared" si="10"/>
        <v>29503.08228244607</v>
      </c>
      <c r="O229" s="270">
        <f t="shared" si="11"/>
        <v>4601.9177175539317</v>
      </c>
      <c r="P229" s="42"/>
      <c r="Q229" s="42"/>
      <c r="R229" s="42" t="s">
        <v>855</v>
      </c>
      <c r="S229" s="42" t="s">
        <v>139</v>
      </c>
      <c r="T229" s="43"/>
      <c r="U229" s="43"/>
    </row>
    <row r="230" spans="1:21" ht="78">
      <c r="A230" s="42" t="s">
        <v>901</v>
      </c>
      <c r="B230" s="42" t="s">
        <v>131</v>
      </c>
      <c r="C230" s="42" t="s">
        <v>181</v>
      </c>
      <c r="D230" s="42" t="s">
        <v>1069</v>
      </c>
      <c r="E230" s="42" t="s">
        <v>1066</v>
      </c>
      <c r="F230" s="280">
        <v>2010</v>
      </c>
      <c r="G230" s="42"/>
      <c r="H230" s="42" t="s">
        <v>137</v>
      </c>
      <c r="I230" s="42" t="s">
        <v>137</v>
      </c>
      <c r="J230" s="42">
        <v>2030</v>
      </c>
      <c r="K230" s="117">
        <v>34105</v>
      </c>
      <c r="L230" s="118">
        <v>0.125</v>
      </c>
      <c r="M230" s="119">
        <f t="shared" si="12"/>
        <v>4263.125</v>
      </c>
      <c r="N230" s="269">
        <f t="shared" si="10"/>
        <v>29503.08228244607</v>
      </c>
      <c r="O230" s="270">
        <f t="shared" si="11"/>
        <v>4601.9177175539317</v>
      </c>
      <c r="P230" s="42"/>
      <c r="Q230" s="42"/>
      <c r="R230" s="42" t="s">
        <v>815</v>
      </c>
      <c r="S230" s="42" t="s">
        <v>139</v>
      </c>
      <c r="T230" s="43"/>
      <c r="U230" s="43"/>
    </row>
    <row r="231" spans="1:21" ht="78">
      <c r="A231" s="42" t="s">
        <v>901</v>
      </c>
      <c r="B231" s="42" t="s">
        <v>131</v>
      </c>
      <c r="C231" s="42" t="s">
        <v>181</v>
      </c>
      <c r="D231" s="42" t="s">
        <v>1070</v>
      </c>
      <c r="E231" s="42" t="s">
        <v>1066</v>
      </c>
      <c r="F231" s="280">
        <v>2010</v>
      </c>
      <c r="G231" s="42"/>
      <c r="H231" s="42" t="s">
        <v>137</v>
      </c>
      <c r="I231" s="42" t="s">
        <v>137</v>
      </c>
      <c r="J231" s="42">
        <v>2030</v>
      </c>
      <c r="K231" s="117">
        <v>34105</v>
      </c>
      <c r="L231" s="118">
        <v>0.125</v>
      </c>
      <c r="M231" s="119">
        <f t="shared" si="12"/>
        <v>4263.125</v>
      </c>
      <c r="N231" s="269">
        <f t="shared" si="10"/>
        <v>29503.08228244607</v>
      </c>
      <c r="O231" s="270">
        <f t="shared" si="11"/>
        <v>4601.9177175539317</v>
      </c>
      <c r="P231" s="42"/>
      <c r="Q231" s="42"/>
      <c r="R231" s="42" t="s">
        <v>975</v>
      </c>
      <c r="S231" s="42" t="s">
        <v>139</v>
      </c>
      <c r="T231" s="43"/>
      <c r="U231" s="43"/>
    </row>
    <row r="232" spans="1:21" ht="78">
      <c r="A232" s="42" t="s">
        <v>901</v>
      </c>
      <c r="B232" s="42" t="s">
        <v>131</v>
      </c>
      <c r="C232" s="42" t="s">
        <v>181</v>
      </c>
      <c r="D232" s="42" t="s">
        <v>1071</v>
      </c>
      <c r="E232" s="42" t="s">
        <v>1066</v>
      </c>
      <c r="F232" s="280">
        <v>2010</v>
      </c>
      <c r="G232" s="42"/>
      <c r="H232" s="42" t="s">
        <v>137</v>
      </c>
      <c r="I232" s="42" t="s">
        <v>137</v>
      </c>
      <c r="J232" s="42">
        <v>2030</v>
      </c>
      <c r="K232" s="117">
        <v>34105</v>
      </c>
      <c r="L232" s="118">
        <v>0.125</v>
      </c>
      <c r="M232" s="119">
        <f t="shared" si="12"/>
        <v>4263.125</v>
      </c>
      <c r="N232" s="269">
        <f t="shared" si="10"/>
        <v>29503.08228244607</v>
      </c>
      <c r="O232" s="270">
        <f t="shared" si="11"/>
        <v>4601.9177175539317</v>
      </c>
      <c r="P232" s="42"/>
      <c r="Q232" s="42"/>
      <c r="R232" s="42" t="s">
        <v>318</v>
      </c>
      <c r="S232" s="42" t="s">
        <v>139</v>
      </c>
      <c r="T232" s="43"/>
      <c r="U232" s="43"/>
    </row>
    <row r="233" spans="1:21" ht="78">
      <c r="A233" s="42" t="s">
        <v>901</v>
      </c>
      <c r="B233" s="42" t="s">
        <v>131</v>
      </c>
      <c r="C233" s="42" t="s">
        <v>181</v>
      </c>
      <c r="D233" s="42" t="s">
        <v>1072</v>
      </c>
      <c r="E233" s="42" t="s">
        <v>1066</v>
      </c>
      <c r="F233" s="280">
        <v>2010</v>
      </c>
      <c r="G233" s="42"/>
      <c r="H233" s="42" t="s">
        <v>137</v>
      </c>
      <c r="I233" s="42" t="s">
        <v>137</v>
      </c>
      <c r="J233" s="42">
        <v>2030</v>
      </c>
      <c r="K233" s="117">
        <v>34105</v>
      </c>
      <c r="L233" s="118">
        <v>0.125</v>
      </c>
      <c r="M233" s="119">
        <f t="shared" si="12"/>
        <v>4263.125</v>
      </c>
      <c r="N233" s="269">
        <f t="shared" si="10"/>
        <v>29503.08228244607</v>
      </c>
      <c r="O233" s="270">
        <f t="shared" si="11"/>
        <v>4601.9177175539317</v>
      </c>
      <c r="P233" s="42"/>
      <c r="Q233" s="42"/>
      <c r="R233" s="42" t="s">
        <v>1051</v>
      </c>
      <c r="S233" s="42" t="s">
        <v>139</v>
      </c>
      <c r="T233" s="43"/>
      <c r="U233" s="43"/>
    </row>
    <row r="234" spans="1:21" ht="78">
      <c r="A234" s="42" t="s">
        <v>901</v>
      </c>
      <c r="B234" s="42" t="s">
        <v>131</v>
      </c>
      <c r="C234" s="42" t="s">
        <v>181</v>
      </c>
      <c r="D234" s="42" t="s">
        <v>1073</v>
      </c>
      <c r="E234" s="42" t="s">
        <v>1066</v>
      </c>
      <c r="F234" s="280">
        <v>2010</v>
      </c>
      <c r="G234" s="42"/>
      <c r="H234" s="42" t="s">
        <v>137</v>
      </c>
      <c r="I234" s="42" t="s">
        <v>137</v>
      </c>
      <c r="J234" s="42">
        <v>2030</v>
      </c>
      <c r="K234" s="117">
        <v>34105</v>
      </c>
      <c r="L234" s="118">
        <v>0.125</v>
      </c>
      <c r="M234" s="119">
        <f t="shared" si="12"/>
        <v>4263.125</v>
      </c>
      <c r="N234" s="269">
        <f t="shared" si="10"/>
        <v>29503.08228244607</v>
      </c>
      <c r="O234" s="270">
        <f t="shared" si="11"/>
        <v>4601.9177175539317</v>
      </c>
      <c r="P234" s="42"/>
      <c r="Q234" s="42"/>
      <c r="R234" s="42" t="s">
        <v>330</v>
      </c>
      <c r="S234" s="42" t="s">
        <v>139</v>
      </c>
      <c r="T234" s="43"/>
      <c r="U234" s="43"/>
    </row>
    <row r="235" spans="1:21" ht="78">
      <c r="A235" s="42" t="s">
        <v>901</v>
      </c>
      <c r="B235" s="42" t="s">
        <v>131</v>
      </c>
      <c r="C235" s="42" t="s">
        <v>181</v>
      </c>
      <c r="D235" s="42" t="s">
        <v>1074</v>
      </c>
      <c r="E235" s="42" t="s">
        <v>1066</v>
      </c>
      <c r="F235" s="280">
        <v>2010</v>
      </c>
      <c r="G235" s="42"/>
      <c r="H235" s="42" t="s">
        <v>137</v>
      </c>
      <c r="I235" s="42" t="s">
        <v>137</v>
      </c>
      <c r="J235" s="42">
        <v>2030</v>
      </c>
      <c r="K235" s="117">
        <v>34105</v>
      </c>
      <c r="L235" s="118">
        <v>0.125</v>
      </c>
      <c r="M235" s="119">
        <f t="shared" si="12"/>
        <v>4263.125</v>
      </c>
      <c r="N235" s="269">
        <f t="shared" si="10"/>
        <v>29503.08228244607</v>
      </c>
      <c r="O235" s="270">
        <f t="shared" si="11"/>
        <v>4601.9177175539317</v>
      </c>
      <c r="P235" s="42"/>
      <c r="Q235" s="42"/>
      <c r="R235" s="42" t="s">
        <v>1075</v>
      </c>
      <c r="S235" s="42" t="s">
        <v>139</v>
      </c>
      <c r="T235" s="43"/>
      <c r="U235" s="43"/>
    </row>
    <row r="236" spans="1:21" ht="78">
      <c r="A236" s="42" t="s">
        <v>901</v>
      </c>
      <c r="B236" s="42" t="s">
        <v>131</v>
      </c>
      <c r="C236" s="42" t="s">
        <v>181</v>
      </c>
      <c r="D236" s="42" t="s">
        <v>1076</v>
      </c>
      <c r="E236" s="42" t="s">
        <v>1066</v>
      </c>
      <c r="F236" s="280">
        <v>2010</v>
      </c>
      <c r="G236" s="42"/>
      <c r="H236" s="42" t="s">
        <v>137</v>
      </c>
      <c r="I236" s="42" t="s">
        <v>137</v>
      </c>
      <c r="J236" s="42">
        <v>2030</v>
      </c>
      <c r="K236" s="117">
        <v>34105</v>
      </c>
      <c r="L236" s="118">
        <v>0.125</v>
      </c>
      <c r="M236" s="119">
        <f t="shared" si="12"/>
        <v>4263.125</v>
      </c>
      <c r="N236" s="269">
        <f t="shared" si="10"/>
        <v>29503.08228244607</v>
      </c>
      <c r="O236" s="270">
        <f t="shared" si="11"/>
        <v>4601.9177175539317</v>
      </c>
      <c r="P236" s="42"/>
      <c r="Q236" s="42"/>
      <c r="R236" s="42" t="s">
        <v>455</v>
      </c>
      <c r="S236" s="42" t="s">
        <v>139</v>
      </c>
      <c r="T236" s="43"/>
      <c r="U236" s="43"/>
    </row>
    <row r="237" spans="1:21" ht="78">
      <c r="A237" s="42" t="s">
        <v>901</v>
      </c>
      <c r="B237" s="42" t="s">
        <v>131</v>
      </c>
      <c r="C237" s="42" t="s">
        <v>1077</v>
      </c>
      <c r="D237" s="42" t="s">
        <v>1078</v>
      </c>
      <c r="E237" s="42" t="s">
        <v>1066</v>
      </c>
      <c r="F237" s="280">
        <v>2010</v>
      </c>
      <c r="G237" s="42"/>
      <c r="H237" s="42" t="s">
        <v>137</v>
      </c>
      <c r="I237" s="42" t="s">
        <v>137</v>
      </c>
      <c r="J237" s="42">
        <v>2030</v>
      </c>
      <c r="K237" s="117">
        <v>34105</v>
      </c>
      <c r="L237" s="118">
        <v>0.125</v>
      </c>
      <c r="M237" s="119">
        <f t="shared" si="12"/>
        <v>4263.125</v>
      </c>
      <c r="N237" s="269">
        <f t="shared" si="10"/>
        <v>29503.08228244607</v>
      </c>
      <c r="O237" s="270">
        <f t="shared" si="11"/>
        <v>4601.9177175539317</v>
      </c>
      <c r="P237" s="42"/>
      <c r="Q237" s="42"/>
      <c r="R237" s="42" t="s">
        <v>310</v>
      </c>
      <c r="S237" s="42" t="s">
        <v>139</v>
      </c>
      <c r="T237" s="43"/>
      <c r="U237" s="43"/>
    </row>
    <row r="238" spans="1:21" ht="78">
      <c r="A238" s="42" t="s">
        <v>901</v>
      </c>
      <c r="B238" s="42" t="s">
        <v>131</v>
      </c>
      <c r="C238" s="42" t="s">
        <v>181</v>
      </c>
      <c r="D238" s="42" t="s">
        <v>1079</v>
      </c>
      <c r="E238" s="42" t="s">
        <v>1066</v>
      </c>
      <c r="F238" s="280">
        <v>2010</v>
      </c>
      <c r="G238" s="42"/>
      <c r="H238" s="42" t="s">
        <v>137</v>
      </c>
      <c r="I238" s="42" t="s">
        <v>137</v>
      </c>
      <c r="J238" s="42">
        <v>2030</v>
      </c>
      <c r="K238" s="117">
        <v>34105</v>
      </c>
      <c r="L238" s="118">
        <v>0.125</v>
      </c>
      <c r="M238" s="119">
        <f t="shared" si="12"/>
        <v>4263.125</v>
      </c>
      <c r="N238" s="269">
        <f t="shared" si="10"/>
        <v>29503.08228244607</v>
      </c>
      <c r="O238" s="270">
        <f t="shared" si="11"/>
        <v>4601.9177175539317</v>
      </c>
      <c r="P238" s="42"/>
      <c r="Q238" s="42"/>
      <c r="R238" s="42" t="s">
        <v>464</v>
      </c>
      <c r="S238" s="42" t="s">
        <v>139</v>
      </c>
      <c r="T238" s="43"/>
      <c r="U238" s="43"/>
    </row>
    <row r="239" spans="1:21" ht="78">
      <c r="A239" s="42" t="s">
        <v>901</v>
      </c>
      <c r="B239" s="42" t="s">
        <v>131</v>
      </c>
      <c r="C239" s="42" t="s">
        <v>181</v>
      </c>
      <c r="D239" s="42" t="s">
        <v>1080</v>
      </c>
      <c r="E239" s="42" t="s">
        <v>1066</v>
      </c>
      <c r="F239" s="280">
        <v>2010</v>
      </c>
      <c r="G239" s="42"/>
      <c r="H239" s="42" t="s">
        <v>137</v>
      </c>
      <c r="I239" s="42" t="s">
        <v>137</v>
      </c>
      <c r="J239" s="42">
        <v>2030</v>
      </c>
      <c r="K239" s="117">
        <v>34105</v>
      </c>
      <c r="L239" s="118">
        <v>0.125</v>
      </c>
      <c r="M239" s="119">
        <f t="shared" si="12"/>
        <v>4263.125</v>
      </c>
      <c r="N239" s="269">
        <f t="shared" si="10"/>
        <v>29503.08228244607</v>
      </c>
      <c r="O239" s="270">
        <f t="shared" si="11"/>
        <v>4601.9177175539317</v>
      </c>
      <c r="P239" s="42"/>
      <c r="Q239" s="42"/>
      <c r="R239" s="42" t="s">
        <v>732</v>
      </c>
      <c r="S239" s="42" t="s">
        <v>139</v>
      </c>
      <c r="T239" s="43"/>
      <c r="U239" s="43"/>
    </row>
    <row r="240" spans="1:21" ht="78">
      <c r="A240" s="42" t="s">
        <v>901</v>
      </c>
      <c r="B240" s="42"/>
      <c r="C240" s="42"/>
      <c r="D240" s="42" t="s">
        <v>1081</v>
      </c>
      <c r="E240" s="42" t="s">
        <v>1066</v>
      </c>
      <c r="F240" s="280">
        <v>2010</v>
      </c>
      <c r="G240" s="42"/>
      <c r="H240" s="42" t="s">
        <v>137</v>
      </c>
      <c r="I240" s="42" t="s">
        <v>137</v>
      </c>
      <c r="J240" s="42">
        <v>2030</v>
      </c>
      <c r="K240" s="117">
        <v>34105</v>
      </c>
      <c r="L240" s="118">
        <v>0.125</v>
      </c>
      <c r="M240" s="119">
        <f t="shared" si="12"/>
        <v>4263.125</v>
      </c>
      <c r="N240" s="269">
        <f t="shared" si="10"/>
        <v>29503.08228244607</v>
      </c>
      <c r="O240" s="270">
        <f t="shared" si="11"/>
        <v>4601.9177175539317</v>
      </c>
      <c r="P240" s="42"/>
      <c r="Q240" s="42"/>
      <c r="R240" s="42" t="s">
        <v>304</v>
      </c>
      <c r="S240" s="42" t="s">
        <v>139</v>
      </c>
      <c r="T240" s="43"/>
      <c r="U240" s="43"/>
    </row>
    <row r="241" spans="1:21" ht="78">
      <c r="A241" s="42" t="s">
        <v>901</v>
      </c>
      <c r="B241" s="42" t="s">
        <v>131</v>
      </c>
      <c r="C241" s="42" t="s">
        <v>181</v>
      </c>
      <c r="D241" s="42" t="s">
        <v>1082</v>
      </c>
      <c r="E241" s="42" t="s">
        <v>1066</v>
      </c>
      <c r="F241" s="280">
        <v>2010</v>
      </c>
      <c r="G241" s="42"/>
      <c r="H241" s="42" t="s">
        <v>137</v>
      </c>
      <c r="I241" s="42" t="s">
        <v>137</v>
      </c>
      <c r="J241" s="42">
        <v>2030</v>
      </c>
      <c r="K241" s="117">
        <v>34105</v>
      </c>
      <c r="L241" s="118">
        <v>0.125</v>
      </c>
      <c r="M241" s="119">
        <f t="shared" si="12"/>
        <v>4263.125</v>
      </c>
      <c r="N241" s="269">
        <f t="shared" si="10"/>
        <v>29503.08228244607</v>
      </c>
      <c r="O241" s="270">
        <f t="shared" si="11"/>
        <v>4601.9177175539317</v>
      </c>
      <c r="P241" s="42"/>
      <c r="Q241" s="42"/>
      <c r="R241" s="42" t="s">
        <v>1083</v>
      </c>
      <c r="S241" s="42" t="s">
        <v>139</v>
      </c>
      <c r="T241" s="43"/>
      <c r="U241" s="43"/>
    </row>
    <row r="242" spans="1:21" ht="78">
      <c r="A242" s="42" t="s">
        <v>901</v>
      </c>
      <c r="B242" s="42" t="s">
        <v>131</v>
      </c>
      <c r="C242" s="42" t="s">
        <v>181</v>
      </c>
      <c r="D242" s="42" t="s">
        <v>1084</v>
      </c>
      <c r="E242" s="42" t="s">
        <v>1066</v>
      </c>
      <c r="F242" s="280">
        <v>2010</v>
      </c>
      <c r="G242" s="42"/>
      <c r="H242" s="42" t="s">
        <v>137</v>
      </c>
      <c r="I242" s="42" t="s">
        <v>137</v>
      </c>
      <c r="J242" s="42">
        <v>2030</v>
      </c>
      <c r="K242" s="117">
        <v>34105</v>
      </c>
      <c r="L242" s="118">
        <v>0.125</v>
      </c>
      <c r="M242" s="119">
        <f t="shared" si="12"/>
        <v>4263.125</v>
      </c>
      <c r="N242" s="269">
        <f t="shared" si="10"/>
        <v>29503.08228244607</v>
      </c>
      <c r="O242" s="270">
        <f t="shared" si="11"/>
        <v>4601.9177175539317</v>
      </c>
      <c r="P242" s="42"/>
      <c r="Q242" s="42"/>
      <c r="R242" s="42" t="s">
        <v>776</v>
      </c>
      <c r="S242" s="42" t="s">
        <v>139</v>
      </c>
      <c r="T242" s="43"/>
      <c r="U242" s="43"/>
    </row>
    <row r="243" spans="1:21" ht="78">
      <c r="A243" s="42" t="s">
        <v>901</v>
      </c>
      <c r="B243" s="42" t="s">
        <v>131</v>
      </c>
      <c r="C243" s="42" t="s">
        <v>181</v>
      </c>
      <c r="D243" s="42" t="s">
        <v>1085</v>
      </c>
      <c r="E243" s="42" t="s">
        <v>1066</v>
      </c>
      <c r="F243" s="280">
        <v>2010</v>
      </c>
      <c r="G243" s="42"/>
      <c r="H243" s="42" t="s">
        <v>137</v>
      </c>
      <c r="I243" s="42" t="s">
        <v>137</v>
      </c>
      <c r="J243" s="42">
        <v>2030</v>
      </c>
      <c r="K243" s="117">
        <v>34105</v>
      </c>
      <c r="L243" s="118">
        <v>0.125</v>
      </c>
      <c r="M243" s="119">
        <f t="shared" si="12"/>
        <v>4263.125</v>
      </c>
      <c r="N243" s="269">
        <f t="shared" si="10"/>
        <v>29503.08228244607</v>
      </c>
      <c r="O243" s="270">
        <f t="shared" si="11"/>
        <v>4601.9177175539317</v>
      </c>
      <c r="P243" s="42"/>
      <c r="Q243" s="42"/>
      <c r="R243" s="42" t="s">
        <v>648</v>
      </c>
      <c r="S243" s="42" t="s">
        <v>139</v>
      </c>
      <c r="T243" s="43"/>
      <c r="U243" s="43"/>
    </row>
    <row r="244" spans="1:21" ht="78">
      <c r="A244" s="42" t="s">
        <v>259</v>
      </c>
      <c r="B244" s="42" t="s">
        <v>131</v>
      </c>
      <c r="C244" s="42" t="s">
        <v>181</v>
      </c>
      <c r="D244" s="42" t="s">
        <v>1086</v>
      </c>
      <c r="E244" s="42" t="s">
        <v>1066</v>
      </c>
      <c r="F244" s="280">
        <v>2010</v>
      </c>
      <c r="G244" s="42"/>
      <c r="H244" s="42" t="s">
        <v>137</v>
      </c>
      <c r="I244" s="42" t="s">
        <v>137</v>
      </c>
      <c r="J244" s="42">
        <v>2030</v>
      </c>
      <c r="K244" s="117">
        <v>34105</v>
      </c>
      <c r="L244" s="118">
        <v>0.125</v>
      </c>
      <c r="M244" s="119">
        <f t="shared" si="12"/>
        <v>4263.125</v>
      </c>
      <c r="N244" s="269">
        <f t="shared" si="10"/>
        <v>29503.08228244607</v>
      </c>
      <c r="O244" s="270">
        <f t="shared" si="11"/>
        <v>4601.9177175539317</v>
      </c>
      <c r="P244" s="42"/>
      <c r="Q244" s="42"/>
      <c r="R244" s="42" t="s">
        <v>381</v>
      </c>
      <c r="S244" s="42" t="s">
        <v>139</v>
      </c>
      <c r="T244" s="43"/>
      <c r="U244" s="43"/>
    </row>
    <row r="245" spans="1:21" ht="78">
      <c r="A245" s="42" t="s">
        <v>901</v>
      </c>
      <c r="B245" s="42" t="s">
        <v>131</v>
      </c>
      <c r="C245" s="42" t="s">
        <v>181</v>
      </c>
      <c r="D245" s="42" t="s">
        <v>1087</v>
      </c>
      <c r="E245" s="42" t="s">
        <v>1066</v>
      </c>
      <c r="F245" s="280">
        <v>2010</v>
      </c>
      <c r="G245" s="42"/>
      <c r="H245" s="42" t="s">
        <v>137</v>
      </c>
      <c r="I245" s="42" t="s">
        <v>137</v>
      </c>
      <c r="J245" s="42">
        <v>2030</v>
      </c>
      <c r="K245" s="117">
        <v>34105</v>
      </c>
      <c r="L245" s="118">
        <v>0.125</v>
      </c>
      <c r="M245" s="119">
        <f t="shared" si="12"/>
        <v>4263.125</v>
      </c>
      <c r="N245" s="269">
        <f t="shared" si="10"/>
        <v>29503.08228244607</v>
      </c>
      <c r="O245" s="270">
        <f t="shared" si="11"/>
        <v>4601.9177175539317</v>
      </c>
      <c r="P245" s="42"/>
      <c r="Q245" s="42"/>
      <c r="R245" s="42" t="s">
        <v>1088</v>
      </c>
      <c r="S245" s="42" t="s">
        <v>139</v>
      </c>
      <c r="T245" s="43"/>
      <c r="U245" s="43"/>
    </row>
    <row r="246" spans="1:21" ht="78">
      <c r="A246" s="42" t="s">
        <v>901</v>
      </c>
      <c r="B246" s="42" t="s">
        <v>131</v>
      </c>
      <c r="C246" s="42" t="s">
        <v>181</v>
      </c>
      <c r="D246" s="42" t="s">
        <v>1089</v>
      </c>
      <c r="E246" s="42" t="s">
        <v>1066</v>
      </c>
      <c r="F246" s="280">
        <v>2010</v>
      </c>
      <c r="G246" s="42"/>
      <c r="H246" s="42" t="s">
        <v>137</v>
      </c>
      <c r="I246" s="42" t="s">
        <v>137</v>
      </c>
      <c r="J246" s="42">
        <v>2030</v>
      </c>
      <c r="K246" s="117">
        <v>34105</v>
      </c>
      <c r="L246" s="118">
        <v>0.125</v>
      </c>
      <c r="M246" s="119">
        <f t="shared" si="12"/>
        <v>4263.125</v>
      </c>
      <c r="N246" s="269">
        <f t="shared" si="10"/>
        <v>29503.08228244607</v>
      </c>
      <c r="O246" s="270">
        <f t="shared" si="11"/>
        <v>4601.9177175539317</v>
      </c>
      <c r="P246" s="42"/>
      <c r="Q246" s="42"/>
      <c r="R246" s="42" t="s">
        <v>445</v>
      </c>
      <c r="S246" s="42" t="s">
        <v>139</v>
      </c>
      <c r="T246" s="43"/>
      <c r="U246" s="43"/>
    </row>
    <row r="247" spans="1:21" ht="93.6">
      <c r="A247" s="42" t="s">
        <v>901</v>
      </c>
      <c r="B247" s="42" t="s">
        <v>131</v>
      </c>
      <c r="C247" s="42" t="s">
        <v>181</v>
      </c>
      <c r="D247" s="42" t="s">
        <v>1090</v>
      </c>
      <c r="E247" s="42" t="s">
        <v>989</v>
      </c>
      <c r="F247" s="280">
        <v>2010</v>
      </c>
      <c r="G247" s="42"/>
      <c r="H247" s="42" t="s">
        <v>137</v>
      </c>
      <c r="I247" s="42" t="s">
        <v>137</v>
      </c>
      <c r="J247" s="42">
        <v>2030</v>
      </c>
      <c r="K247" s="117">
        <v>15000</v>
      </c>
      <c r="L247" s="118">
        <v>0.125</v>
      </c>
      <c r="M247" s="119">
        <f t="shared" si="12"/>
        <v>1875</v>
      </c>
      <c r="N247" s="269">
        <f t="shared" si="10"/>
        <v>12975.992793921449</v>
      </c>
      <c r="O247" s="270">
        <f t="shared" si="11"/>
        <v>2024.0072060785508</v>
      </c>
      <c r="P247" s="42"/>
      <c r="Q247" s="42"/>
      <c r="R247" s="42" t="s">
        <v>196</v>
      </c>
      <c r="S247" s="42" t="s">
        <v>139</v>
      </c>
      <c r="T247" s="43"/>
      <c r="U247" s="43"/>
    </row>
    <row r="248" spans="1:21" ht="93.6">
      <c r="A248" s="42" t="s">
        <v>901</v>
      </c>
      <c r="B248" s="42" t="s">
        <v>131</v>
      </c>
      <c r="C248" s="42" t="s">
        <v>181</v>
      </c>
      <c r="D248" s="42" t="s">
        <v>1091</v>
      </c>
      <c r="E248" s="42" t="s">
        <v>989</v>
      </c>
      <c r="F248" s="280">
        <v>2010</v>
      </c>
      <c r="G248" s="42"/>
      <c r="H248" s="42" t="s">
        <v>137</v>
      </c>
      <c r="I248" s="42" t="s">
        <v>137</v>
      </c>
      <c r="J248" s="42">
        <v>2030</v>
      </c>
      <c r="K248" s="117">
        <v>15000</v>
      </c>
      <c r="L248" s="118">
        <v>0.125</v>
      </c>
      <c r="M248" s="119">
        <f t="shared" si="12"/>
        <v>1875</v>
      </c>
      <c r="N248" s="269">
        <f t="shared" si="10"/>
        <v>12975.992793921449</v>
      </c>
      <c r="O248" s="270">
        <f t="shared" si="11"/>
        <v>2024.0072060785508</v>
      </c>
      <c r="P248" s="42"/>
      <c r="Q248" s="42"/>
      <c r="R248" s="42" t="s">
        <v>273</v>
      </c>
      <c r="S248" s="42" t="s">
        <v>139</v>
      </c>
      <c r="T248" s="43"/>
      <c r="U248" s="43"/>
    </row>
    <row r="249" spans="1:21" ht="93.6">
      <c r="A249" s="42" t="s">
        <v>901</v>
      </c>
      <c r="B249" s="42" t="s">
        <v>131</v>
      </c>
      <c r="C249" s="42" t="s">
        <v>181</v>
      </c>
      <c r="D249" s="42" t="s">
        <v>1092</v>
      </c>
      <c r="E249" s="42" t="s">
        <v>989</v>
      </c>
      <c r="F249" s="280">
        <v>2010</v>
      </c>
      <c r="G249" s="42"/>
      <c r="H249" s="42" t="s">
        <v>137</v>
      </c>
      <c r="I249" s="42" t="s">
        <v>137</v>
      </c>
      <c r="J249" s="42">
        <v>2030</v>
      </c>
      <c r="K249" s="117">
        <v>15000</v>
      </c>
      <c r="L249" s="118">
        <v>0.125</v>
      </c>
      <c r="M249" s="119">
        <f t="shared" si="12"/>
        <v>1875</v>
      </c>
      <c r="N249" s="269">
        <f t="shared" si="10"/>
        <v>12975.992793921449</v>
      </c>
      <c r="O249" s="270">
        <f t="shared" si="11"/>
        <v>2024.0072060785508</v>
      </c>
      <c r="P249" s="42"/>
      <c r="Q249" s="42"/>
      <c r="R249" s="42" t="s">
        <v>794</v>
      </c>
      <c r="S249" s="42" t="s">
        <v>139</v>
      </c>
      <c r="T249" s="43"/>
      <c r="U249" s="43"/>
    </row>
    <row r="250" spans="1:21" ht="93.6">
      <c r="A250" s="42" t="s">
        <v>901</v>
      </c>
      <c r="B250" s="42" t="s">
        <v>131</v>
      </c>
      <c r="C250" s="42" t="s">
        <v>181</v>
      </c>
      <c r="D250" s="42" t="s">
        <v>1093</v>
      </c>
      <c r="E250" s="42" t="s">
        <v>989</v>
      </c>
      <c r="F250" s="280">
        <v>2010</v>
      </c>
      <c r="G250" s="42"/>
      <c r="H250" s="42" t="s">
        <v>137</v>
      </c>
      <c r="I250" s="42" t="s">
        <v>137</v>
      </c>
      <c r="J250" s="42">
        <v>2030</v>
      </c>
      <c r="K250" s="117">
        <v>15000</v>
      </c>
      <c r="L250" s="118">
        <v>0.125</v>
      </c>
      <c r="M250" s="119">
        <f t="shared" si="12"/>
        <v>1875</v>
      </c>
      <c r="N250" s="269">
        <f t="shared" si="10"/>
        <v>12975.992793921449</v>
      </c>
      <c r="O250" s="270">
        <f t="shared" si="11"/>
        <v>2024.0072060785508</v>
      </c>
      <c r="P250" s="42"/>
      <c r="Q250" s="42"/>
      <c r="R250" s="42" t="s">
        <v>392</v>
      </c>
      <c r="S250" s="42" t="s">
        <v>139</v>
      </c>
      <c r="T250" s="43"/>
      <c r="U250" s="43"/>
    </row>
    <row r="251" spans="1:21" ht="93.6">
      <c r="A251" s="42" t="s">
        <v>901</v>
      </c>
      <c r="B251" s="42"/>
      <c r="C251" s="42"/>
      <c r="D251" s="42" t="s">
        <v>1094</v>
      </c>
      <c r="E251" s="42" t="s">
        <v>989</v>
      </c>
      <c r="F251" s="280">
        <v>2010</v>
      </c>
      <c r="G251" s="42"/>
      <c r="H251" s="42" t="s">
        <v>137</v>
      </c>
      <c r="I251" s="42" t="s">
        <v>137</v>
      </c>
      <c r="J251" s="42">
        <v>2030</v>
      </c>
      <c r="K251" s="117">
        <v>15000</v>
      </c>
      <c r="L251" s="118">
        <v>0.125</v>
      </c>
      <c r="M251" s="119">
        <f t="shared" si="12"/>
        <v>1875</v>
      </c>
      <c r="N251" s="269">
        <f t="shared" si="10"/>
        <v>12975.992793921449</v>
      </c>
      <c r="O251" s="270">
        <f t="shared" si="11"/>
        <v>2024.0072060785508</v>
      </c>
      <c r="P251" s="42"/>
      <c r="Q251" s="42"/>
      <c r="R251" s="42" t="s">
        <v>855</v>
      </c>
      <c r="S251" s="42" t="s">
        <v>139</v>
      </c>
      <c r="T251" s="43"/>
      <c r="U251" s="43"/>
    </row>
    <row r="252" spans="1:21" ht="93.6">
      <c r="A252" s="42" t="s">
        <v>901</v>
      </c>
      <c r="B252" s="42" t="s">
        <v>131</v>
      </c>
      <c r="C252" s="42" t="s">
        <v>181</v>
      </c>
      <c r="D252" s="42" t="s">
        <v>1095</v>
      </c>
      <c r="E252" s="42" t="s">
        <v>989</v>
      </c>
      <c r="F252" s="280">
        <v>2010</v>
      </c>
      <c r="G252" s="42"/>
      <c r="H252" s="42" t="s">
        <v>137</v>
      </c>
      <c r="I252" s="42" t="s">
        <v>137</v>
      </c>
      <c r="J252" s="42">
        <v>2030</v>
      </c>
      <c r="K252" s="117">
        <v>15000</v>
      </c>
      <c r="L252" s="118">
        <v>0.125</v>
      </c>
      <c r="M252" s="119">
        <f t="shared" si="12"/>
        <v>1875</v>
      </c>
      <c r="N252" s="269">
        <f t="shared" si="10"/>
        <v>12975.992793921449</v>
      </c>
      <c r="O252" s="270">
        <f t="shared" si="11"/>
        <v>2024.0072060785508</v>
      </c>
      <c r="P252" s="42"/>
      <c r="Q252" s="42"/>
      <c r="R252" s="42" t="s">
        <v>482</v>
      </c>
      <c r="S252" s="42" t="s">
        <v>139</v>
      </c>
      <c r="T252" s="43"/>
      <c r="U252" s="43"/>
    </row>
    <row r="253" spans="1:21" ht="93.6">
      <c r="A253" s="42" t="s">
        <v>901</v>
      </c>
      <c r="B253" s="42" t="s">
        <v>131</v>
      </c>
      <c r="C253" s="42" t="s">
        <v>181</v>
      </c>
      <c r="D253" s="42" t="s">
        <v>1096</v>
      </c>
      <c r="E253" s="42" t="s">
        <v>989</v>
      </c>
      <c r="F253" s="280">
        <v>2010</v>
      </c>
      <c r="G253" s="42"/>
      <c r="H253" s="42" t="s">
        <v>137</v>
      </c>
      <c r="I253" s="42" t="s">
        <v>137</v>
      </c>
      <c r="J253" s="42">
        <v>2030</v>
      </c>
      <c r="K253" s="117">
        <v>15000</v>
      </c>
      <c r="L253" s="118">
        <v>0.125</v>
      </c>
      <c r="M253" s="119">
        <f t="shared" si="12"/>
        <v>1875</v>
      </c>
      <c r="N253" s="269">
        <f t="shared" si="10"/>
        <v>12975.992793921449</v>
      </c>
      <c r="O253" s="270">
        <f t="shared" si="11"/>
        <v>2024.0072060785508</v>
      </c>
      <c r="P253" s="42"/>
      <c r="Q253" s="42"/>
      <c r="R253" s="42" t="s">
        <v>865</v>
      </c>
      <c r="S253" s="42" t="s">
        <v>139</v>
      </c>
      <c r="T253" s="43"/>
      <c r="U253" s="43"/>
    </row>
    <row r="254" spans="1:21" ht="93.6">
      <c r="A254" s="42" t="s">
        <v>901</v>
      </c>
      <c r="B254" s="42" t="s">
        <v>131</v>
      </c>
      <c r="C254" s="42" t="s">
        <v>181</v>
      </c>
      <c r="D254" s="42" t="s">
        <v>1097</v>
      </c>
      <c r="E254" s="42" t="s">
        <v>989</v>
      </c>
      <c r="F254" s="280">
        <v>2010</v>
      </c>
      <c r="G254" s="42"/>
      <c r="H254" s="42" t="s">
        <v>137</v>
      </c>
      <c r="I254" s="42" t="s">
        <v>137</v>
      </c>
      <c r="J254" s="42">
        <v>2030</v>
      </c>
      <c r="K254" s="117">
        <v>15000</v>
      </c>
      <c r="L254" s="118">
        <v>0.125</v>
      </c>
      <c r="M254" s="119">
        <f t="shared" si="12"/>
        <v>1875</v>
      </c>
      <c r="N254" s="269">
        <f t="shared" si="10"/>
        <v>12975.992793921449</v>
      </c>
      <c r="O254" s="270">
        <f t="shared" si="11"/>
        <v>2024.0072060785508</v>
      </c>
      <c r="P254" s="42"/>
      <c r="Q254" s="42"/>
      <c r="R254" s="42" t="s">
        <v>445</v>
      </c>
      <c r="S254" s="42" t="s">
        <v>139</v>
      </c>
      <c r="T254" s="43"/>
      <c r="U254" s="43"/>
    </row>
    <row r="255" spans="1:21" ht="93.6">
      <c r="A255" s="42" t="s">
        <v>901</v>
      </c>
      <c r="B255" s="42" t="s">
        <v>131</v>
      </c>
      <c r="C255" s="42" t="s">
        <v>181</v>
      </c>
      <c r="D255" s="42" t="s">
        <v>1098</v>
      </c>
      <c r="E255" s="42" t="s">
        <v>989</v>
      </c>
      <c r="F255" s="280">
        <v>2010</v>
      </c>
      <c r="G255" s="42"/>
      <c r="H255" s="42" t="s">
        <v>137</v>
      </c>
      <c r="I255" s="42" t="s">
        <v>137</v>
      </c>
      <c r="J255" s="42">
        <v>2030</v>
      </c>
      <c r="K255" s="117">
        <v>15000</v>
      </c>
      <c r="L255" s="118">
        <v>0.125</v>
      </c>
      <c r="M255" s="119">
        <f t="shared" si="12"/>
        <v>1875</v>
      </c>
      <c r="N255" s="269">
        <f t="shared" si="10"/>
        <v>12975.992793921449</v>
      </c>
      <c r="O255" s="270">
        <f t="shared" si="11"/>
        <v>2024.0072060785508</v>
      </c>
      <c r="P255" s="42"/>
      <c r="Q255" s="42"/>
      <c r="R255" s="42" t="s">
        <v>1075</v>
      </c>
      <c r="S255" s="42" t="s">
        <v>139</v>
      </c>
      <c r="T255" s="43"/>
      <c r="U255" s="43"/>
    </row>
    <row r="256" spans="1:21" ht="93.6">
      <c r="A256" s="42" t="s">
        <v>901</v>
      </c>
      <c r="B256" s="42" t="s">
        <v>131</v>
      </c>
      <c r="C256" s="42" t="s">
        <v>181</v>
      </c>
      <c r="D256" s="42" t="s">
        <v>1099</v>
      </c>
      <c r="E256" s="42" t="s">
        <v>989</v>
      </c>
      <c r="F256" s="280">
        <v>2010</v>
      </c>
      <c r="G256" s="42"/>
      <c r="H256" s="42" t="s">
        <v>137</v>
      </c>
      <c r="I256" s="42" t="s">
        <v>137</v>
      </c>
      <c r="J256" s="42">
        <v>2030</v>
      </c>
      <c r="K256" s="117">
        <v>15000</v>
      </c>
      <c r="L256" s="118">
        <v>0.125</v>
      </c>
      <c r="M256" s="119">
        <f t="shared" ref="M256:M313" si="13">K256*L256</f>
        <v>1875</v>
      </c>
      <c r="N256" s="269">
        <f t="shared" si="10"/>
        <v>12975.992793921449</v>
      </c>
      <c r="O256" s="270">
        <f t="shared" si="11"/>
        <v>2024.0072060785508</v>
      </c>
      <c r="P256" s="42"/>
      <c r="Q256" s="42"/>
      <c r="R256" s="42" t="s">
        <v>239</v>
      </c>
      <c r="S256" s="42" t="s">
        <v>139</v>
      </c>
      <c r="T256" s="43"/>
      <c r="U256" s="43"/>
    </row>
    <row r="257" spans="1:21" ht="93.6">
      <c r="A257" s="42" t="s">
        <v>901</v>
      </c>
      <c r="B257" s="42" t="s">
        <v>131</v>
      </c>
      <c r="C257" s="42" t="s">
        <v>181</v>
      </c>
      <c r="D257" s="42" t="s">
        <v>1100</v>
      </c>
      <c r="E257" s="42" t="s">
        <v>989</v>
      </c>
      <c r="F257" s="280">
        <v>2010</v>
      </c>
      <c r="G257" s="42"/>
      <c r="H257" s="42" t="s">
        <v>137</v>
      </c>
      <c r="I257" s="42" t="s">
        <v>137</v>
      </c>
      <c r="J257" s="42">
        <v>2030</v>
      </c>
      <c r="K257" s="117">
        <v>15000</v>
      </c>
      <c r="L257" s="118">
        <v>0.125</v>
      </c>
      <c r="M257" s="119">
        <f t="shared" si="13"/>
        <v>1875</v>
      </c>
      <c r="N257" s="269">
        <f t="shared" si="10"/>
        <v>12975.992793921449</v>
      </c>
      <c r="O257" s="270">
        <f t="shared" si="11"/>
        <v>2024.0072060785508</v>
      </c>
      <c r="P257" s="42"/>
      <c r="Q257" s="42"/>
      <c r="R257" s="42" t="s">
        <v>751</v>
      </c>
      <c r="S257" s="42" t="s">
        <v>139</v>
      </c>
      <c r="T257" s="43"/>
      <c r="U257" s="43"/>
    </row>
    <row r="258" spans="1:21" ht="93.6">
      <c r="A258" s="42" t="s">
        <v>901</v>
      </c>
      <c r="B258" s="42" t="s">
        <v>131</v>
      </c>
      <c r="C258" s="42" t="s">
        <v>181</v>
      </c>
      <c r="D258" s="42" t="s">
        <v>1101</v>
      </c>
      <c r="E258" s="42" t="s">
        <v>989</v>
      </c>
      <c r="F258" s="280">
        <v>2010</v>
      </c>
      <c r="G258" s="42"/>
      <c r="H258" s="42" t="s">
        <v>137</v>
      </c>
      <c r="I258" s="42" t="s">
        <v>137</v>
      </c>
      <c r="J258" s="42">
        <v>2030</v>
      </c>
      <c r="K258" s="117">
        <v>15000</v>
      </c>
      <c r="L258" s="118">
        <v>0.125</v>
      </c>
      <c r="M258" s="119">
        <f t="shared" si="13"/>
        <v>1875</v>
      </c>
      <c r="N258" s="269">
        <f t="shared" si="10"/>
        <v>12975.992793921449</v>
      </c>
      <c r="O258" s="270">
        <f t="shared" si="11"/>
        <v>2024.0072060785508</v>
      </c>
      <c r="P258" s="42"/>
      <c r="Q258" s="42"/>
      <c r="R258" s="42" t="s">
        <v>338</v>
      </c>
      <c r="S258" s="42" t="s">
        <v>139</v>
      </c>
      <c r="T258" s="43"/>
      <c r="U258" s="43"/>
    </row>
    <row r="259" spans="1:21" ht="93.6">
      <c r="A259" s="42" t="s">
        <v>901</v>
      </c>
      <c r="B259" s="42" t="s">
        <v>131</v>
      </c>
      <c r="C259" s="42" t="s">
        <v>181</v>
      </c>
      <c r="D259" s="42" t="s">
        <v>1102</v>
      </c>
      <c r="E259" s="42" t="s">
        <v>989</v>
      </c>
      <c r="F259" s="280">
        <v>2010</v>
      </c>
      <c r="G259" s="42"/>
      <c r="H259" s="42" t="s">
        <v>137</v>
      </c>
      <c r="I259" s="42" t="s">
        <v>137</v>
      </c>
      <c r="J259" s="42">
        <v>2030</v>
      </c>
      <c r="K259" s="117">
        <v>15000</v>
      </c>
      <c r="L259" s="118">
        <v>0.125</v>
      </c>
      <c r="M259" s="119">
        <f t="shared" si="13"/>
        <v>1875</v>
      </c>
      <c r="N259" s="269">
        <f t="shared" ref="N259:N322" si="14">K259-O259</f>
        <v>12975.992793921449</v>
      </c>
      <c r="O259" s="270">
        <f t="shared" ref="O259:O322" si="15">K259*(1-L259)^(2025-F259)</f>
        <v>2024.0072060785508</v>
      </c>
      <c r="P259" s="42"/>
      <c r="Q259" s="42"/>
      <c r="R259" s="42" t="s">
        <v>409</v>
      </c>
      <c r="S259" s="42" t="s">
        <v>139</v>
      </c>
      <c r="T259" s="43"/>
      <c r="U259" s="43"/>
    </row>
    <row r="260" spans="1:21" ht="93.6">
      <c r="A260" s="42" t="s">
        <v>901</v>
      </c>
      <c r="B260" s="42" t="s">
        <v>131</v>
      </c>
      <c r="C260" s="42" t="s">
        <v>181</v>
      </c>
      <c r="D260" s="42" t="s">
        <v>1103</v>
      </c>
      <c r="E260" s="42" t="s">
        <v>989</v>
      </c>
      <c r="F260" s="280">
        <v>2010</v>
      </c>
      <c r="G260" s="42"/>
      <c r="H260" s="42" t="s">
        <v>137</v>
      </c>
      <c r="I260" s="42" t="s">
        <v>137</v>
      </c>
      <c r="J260" s="42">
        <v>2030</v>
      </c>
      <c r="K260" s="117">
        <v>15000</v>
      </c>
      <c r="L260" s="118">
        <v>0.125</v>
      </c>
      <c r="M260" s="119">
        <f t="shared" si="13"/>
        <v>1875</v>
      </c>
      <c r="N260" s="269">
        <f t="shared" si="14"/>
        <v>12975.992793921449</v>
      </c>
      <c r="O260" s="270">
        <f t="shared" si="15"/>
        <v>2024.0072060785508</v>
      </c>
      <c r="P260" s="42"/>
      <c r="Q260" s="42"/>
      <c r="R260" s="42" t="s">
        <v>409</v>
      </c>
      <c r="S260" s="42" t="s">
        <v>139</v>
      </c>
      <c r="T260" s="43"/>
      <c r="U260" s="43"/>
    </row>
    <row r="261" spans="1:21" ht="93.6">
      <c r="A261" s="42" t="s">
        <v>901</v>
      </c>
      <c r="B261" s="42" t="s">
        <v>131</v>
      </c>
      <c r="C261" s="42" t="s">
        <v>181</v>
      </c>
      <c r="D261" s="42" t="s">
        <v>1104</v>
      </c>
      <c r="E261" s="42" t="s">
        <v>989</v>
      </c>
      <c r="F261" s="280">
        <v>2010</v>
      </c>
      <c r="G261" s="42"/>
      <c r="H261" s="42" t="s">
        <v>137</v>
      </c>
      <c r="I261" s="42" t="s">
        <v>137</v>
      </c>
      <c r="J261" s="42">
        <v>2030</v>
      </c>
      <c r="K261" s="117">
        <v>15000</v>
      </c>
      <c r="L261" s="118">
        <v>0.125</v>
      </c>
      <c r="M261" s="119">
        <f t="shared" si="13"/>
        <v>1875</v>
      </c>
      <c r="N261" s="269">
        <f t="shared" si="14"/>
        <v>12975.992793921449</v>
      </c>
      <c r="O261" s="270">
        <f t="shared" si="15"/>
        <v>2024.0072060785508</v>
      </c>
      <c r="P261" s="42"/>
      <c r="Q261" s="42"/>
      <c r="R261" s="42" t="s">
        <v>409</v>
      </c>
      <c r="S261" s="42" t="s">
        <v>139</v>
      </c>
      <c r="T261" s="43"/>
      <c r="U261" s="43"/>
    </row>
    <row r="262" spans="1:21" ht="93.6">
      <c r="A262" s="42" t="s">
        <v>901</v>
      </c>
      <c r="B262" s="42" t="s">
        <v>131</v>
      </c>
      <c r="C262" s="42" t="s">
        <v>181</v>
      </c>
      <c r="D262" s="42" t="s">
        <v>1105</v>
      </c>
      <c r="E262" s="42" t="s">
        <v>989</v>
      </c>
      <c r="F262" s="280">
        <v>2010</v>
      </c>
      <c r="G262" s="42"/>
      <c r="H262" s="42" t="s">
        <v>137</v>
      </c>
      <c r="I262" s="42" t="s">
        <v>137</v>
      </c>
      <c r="J262" s="42">
        <v>2030</v>
      </c>
      <c r="K262" s="117">
        <v>15000</v>
      </c>
      <c r="L262" s="118">
        <v>0.125</v>
      </c>
      <c r="M262" s="119">
        <f t="shared" si="13"/>
        <v>1875</v>
      </c>
      <c r="N262" s="269">
        <f t="shared" si="14"/>
        <v>12975.992793921449</v>
      </c>
      <c r="O262" s="270">
        <f t="shared" si="15"/>
        <v>2024.0072060785508</v>
      </c>
      <c r="P262" s="42"/>
      <c r="Q262" s="42"/>
      <c r="R262" s="42" t="s">
        <v>409</v>
      </c>
      <c r="S262" s="42" t="s">
        <v>139</v>
      </c>
      <c r="T262" s="43"/>
      <c r="U262" s="43"/>
    </row>
    <row r="263" spans="1:21" ht="93.6">
      <c r="A263" s="42" t="s">
        <v>901</v>
      </c>
      <c r="B263" s="42" t="s">
        <v>131</v>
      </c>
      <c r="C263" s="42" t="s">
        <v>181</v>
      </c>
      <c r="D263" s="42" t="s">
        <v>1106</v>
      </c>
      <c r="E263" s="42" t="s">
        <v>989</v>
      </c>
      <c r="F263" s="280">
        <v>2010</v>
      </c>
      <c r="G263" s="42"/>
      <c r="H263" s="42" t="s">
        <v>137</v>
      </c>
      <c r="I263" s="42" t="s">
        <v>137</v>
      </c>
      <c r="J263" s="42">
        <v>2030</v>
      </c>
      <c r="K263" s="117">
        <v>15000</v>
      </c>
      <c r="L263" s="118">
        <v>0.125</v>
      </c>
      <c r="M263" s="119">
        <f t="shared" si="13"/>
        <v>1875</v>
      </c>
      <c r="N263" s="269">
        <f t="shared" si="14"/>
        <v>12975.992793921449</v>
      </c>
      <c r="O263" s="270">
        <f t="shared" si="15"/>
        <v>2024.0072060785508</v>
      </c>
      <c r="P263" s="42"/>
      <c r="Q263" s="42"/>
      <c r="R263" s="42" t="s">
        <v>409</v>
      </c>
      <c r="S263" s="42" t="s">
        <v>139</v>
      </c>
      <c r="T263" s="43"/>
      <c r="U263" s="43"/>
    </row>
    <row r="264" spans="1:21" ht="46.8">
      <c r="A264" s="42" t="s">
        <v>790</v>
      </c>
      <c r="B264" s="42" t="s">
        <v>131</v>
      </c>
      <c r="C264" s="42" t="s">
        <v>181</v>
      </c>
      <c r="D264" s="42" t="s">
        <v>1107</v>
      </c>
      <c r="E264" s="42" t="s">
        <v>1108</v>
      </c>
      <c r="F264" s="280">
        <v>2010</v>
      </c>
      <c r="G264" s="42"/>
      <c r="H264" s="42" t="s">
        <v>137</v>
      </c>
      <c r="I264" s="42" t="s">
        <v>137</v>
      </c>
      <c r="J264" s="42">
        <v>2019</v>
      </c>
      <c r="K264" s="117">
        <v>35825</v>
      </c>
      <c r="L264" s="118">
        <v>0.125</v>
      </c>
      <c r="M264" s="119">
        <f t="shared" si="13"/>
        <v>4478.125</v>
      </c>
      <c r="N264" s="269">
        <f t="shared" si="14"/>
        <v>30990.996122815726</v>
      </c>
      <c r="O264" s="270">
        <f t="shared" si="15"/>
        <v>4834.0038771842719</v>
      </c>
      <c r="P264" s="42"/>
      <c r="Q264" s="42"/>
      <c r="R264" s="42" t="s">
        <v>319</v>
      </c>
      <c r="S264" s="42" t="s">
        <v>139</v>
      </c>
      <c r="T264" s="43"/>
      <c r="U264" s="43"/>
    </row>
    <row r="265" spans="1:21" ht="46.8">
      <c r="A265" s="42" t="s">
        <v>790</v>
      </c>
      <c r="B265" s="42" t="s">
        <v>131</v>
      </c>
      <c r="C265" s="42" t="s">
        <v>181</v>
      </c>
      <c r="D265" s="42" t="s">
        <v>1109</v>
      </c>
      <c r="E265" s="42" t="s">
        <v>1108</v>
      </c>
      <c r="F265" s="280">
        <v>2010</v>
      </c>
      <c r="G265" s="42"/>
      <c r="H265" s="42" t="s">
        <v>137</v>
      </c>
      <c r="I265" s="42" t="s">
        <v>137</v>
      </c>
      <c r="J265" s="42">
        <v>2019</v>
      </c>
      <c r="K265" s="117">
        <v>35825</v>
      </c>
      <c r="L265" s="118">
        <v>0.125</v>
      </c>
      <c r="M265" s="119">
        <f t="shared" si="13"/>
        <v>4478.125</v>
      </c>
      <c r="N265" s="269">
        <f t="shared" si="14"/>
        <v>30990.996122815726</v>
      </c>
      <c r="O265" s="270">
        <f t="shared" si="15"/>
        <v>4834.0038771842719</v>
      </c>
      <c r="P265" s="42"/>
      <c r="Q265" s="42"/>
      <c r="R265" s="42" t="s">
        <v>1110</v>
      </c>
      <c r="S265" s="42" t="s">
        <v>139</v>
      </c>
      <c r="T265" s="43"/>
      <c r="U265" s="43"/>
    </row>
    <row r="266" spans="1:21" ht="46.8">
      <c r="A266" s="42" t="s">
        <v>790</v>
      </c>
      <c r="B266" s="42" t="s">
        <v>131</v>
      </c>
      <c r="C266" s="42" t="s">
        <v>181</v>
      </c>
      <c r="D266" s="42" t="s">
        <v>1111</v>
      </c>
      <c r="E266" s="42" t="s">
        <v>1108</v>
      </c>
      <c r="F266" s="280">
        <v>2010</v>
      </c>
      <c r="G266" s="42"/>
      <c r="H266" s="42" t="s">
        <v>137</v>
      </c>
      <c r="I266" s="42" t="s">
        <v>137</v>
      </c>
      <c r="J266" s="42">
        <v>2019</v>
      </c>
      <c r="K266" s="117">
        <v>35825</v>
      </c>
      <c r="L266" s="118">
        <v>0.125</v>
      </c>
      <c r="M266" s="119">
        <f t="shared" si="13"/>
        <v>4478.125</v>
      </c>
      <c r="N266" s="269">
        <f t="shared" si="14"/>
        <v>30990.996122815726</v>
      </c>
      <c r="O266" s="270">
        <f t="shared" si="15"/>
        <v>4834.0038771842719</v>
      </c>
      <c r="P266" s="42"/>
      <c r="Q266" s="42"/>
      <c r="R266" s="42" t="s">
        <v>333</v>
      </c>
      <c r="S266" s="42" t="s">
        <v>139</v>
      </c>
      <c r="T266" s="43"/>
      <c r="U266" s="43"/>
    </row>
    <row r="267" spans="1:21" ht="31.2">
      <c r="A267" s="42" t="s">
        <v>1112</v>
      </c>
      <c r="B267" s="42" t="s">
        <v>131</v>
      </c>
      <c r="C267" s="42" t="s">
        <v>181</v>
      </c>
      <c r="D267" s="42" t="s">
        <v>1113</v>
      </c>
      <c r="E267" s="42" t="s">
        <v>1114</v>
      </c>
      <c r="F267" s="280">
        <v>2010</v>
      </c>
      <c r="G267" s="42"/>
      <c r="H267" s="42" t="s">
        <v>137</v>
      </c>
      <c r="I267" s="42" t="s">
        <v>137</v>
      </c>
      <c r="J267" s="42">
        <v>2023</v>
      </c>
      <c r="K267" s="117">
        <v>556800</v>
      </c>
      <c r="L267" s="118">
        <v>0.125</v>
      </c>
      <c r="M267" s="119">
        <f t="shared" si="13"/>
        <v>69600</v>
      </c>
      <c r="N267" s="269">
        <f t="shared" si="14"/>
        <v>481668.8525103642</v>
      </c>
      <c r="O267" s="270">
        <f t="shared" si="15"/>
        <v>75131.147489635798</v>
      </c>
      <c r="P267" s="42"/>
      <c r="Q267" s="42"/>
      <c r="R267" s="42" t="s">
        <v>1115</v>
      </c>
      <c r="S267" s="42" t="s">
        <v>139</v>
      </c>
      <c r="T267" s="43"/>
      <c r="U267" s="43"/>
    </row>
    <row r="268" spans="1:21" ht="31.2">
      <c r="A268" s="42" t="s">
        <v>790</v>
      </c>
      <c r="B268" s="42" t="s">
        <v>131</v>
      </c>
      <c r="C268" s="42" t="s">
        <v>181</v>
      </c>
      <c r="D268" s="42" t="s">
        <v>1116</v>
      </c>
      <c r="E268" s="42" t="s">
        <v>1117</v>
      </c>
      <c r="F268" s="280">
        <v>2010</v>
      </c>
      <c r="G268" s="42"/>
      <c r="H268" s="42" t="s">
        <v>137</v>
      </c>
      <c r="I268" s="42" t="s">
        <v>137</v>
      </c>
      <c r="J268" s="42">
        <v>2023</v>
      </c>
      <c r="K268" s="117">
        <v>40600</v>
      </c>
      <c r="L268" s="118">
        <v>0.125</v>
      </c>
      <c r="M268" s="119">
        <f t="shared" si="13"/>
        <v>5075</v>
      </c>
      <c r="N268" s="269">
        <f t="shared" si="14"/>
        <v>35121.687162214053</v>
      </c>
      <c r="O268" s="270">
        <f t="shared" si="15"/>
        <v>5478.3128377859439</v>
      </c>
      <c r="P268" s="42"/>
      <c r="Q268" s="42"/>
      <c r="R268" s="42" t="s">
        <v>1115</v>
      </c>
      <c r="S268" s="42" t="s">
        <v>139</v>
      </c>
      <c r="T268" s="43"/>
      <c r="U268" s="43"/>
    </row>
    <row r="269" spans="1:21" ht="31.2">
      <c r="A269" s="42" t="s">
        <v>790</v>
      </c>
      <c r="B269" s="42" t="s">
        <v>131</v>
      </c>
      <c r="C269" s="42" t="s">
        <v>181</v>
      </c>
      <c r="D269" s="42" t="s">
        <v>1118</v>
      </c>
      <c r="E269" s="42" t="s">
        <v>1117</v>
      </c>
      <c r="F269" s="280">
        <v>2010</v>
      </c>
      <c r="G269" s="42"/>
      <c r="H269" s="42" t="s">
        <v>137</v>
      </c>
      <c r="I269" s="42" t="s">
        <v>137</v>
      </c>
      <c r="J269" s="42">
        <v>2023</v>
      </c>
      <c r="K269" s="117">
        <v>40600</v>
      </c>
      <c r="L269" s="118">
        <v>0.125</v>
      </c>
      <c r="M269" s="119">
        <f t="shared" si="13"/>
        <v>5075</v>
      </c>
      <c r="N269" s="269">
        <f t="shared" si="14"/>
        <v>35121.687162214053</v>
      </c>
      <c r="O269" s="270">
        <f t="shared" si="15"/>
        <v>5478.3128377859439</v>
      </c>
      <c r="P269" s="42"/>
      <c r="Q269" s="42"/>
      <c r="R269" s="42" t="s">
        <v>1115</v>
      </c>
      <c r="S269" s="42"/>
      <c r="T269" s="43"/>
      <c r="U269" s="43"/>
    </row>
    <row r="270" spans="1:21" ht="31.2">
      <c r="A270" s="42" t="s">
        <v>790</v>
      </c>
      <c r="B270" s="42" t="s">
        <v>131</v>
      </c>
      <c r="C270" s="42" t="s">
        <v>181</v>
      </c>
      <c r="D270" s="42" t="s">
        <v>1119</v>
      </c>
      <c r="E270" s="42" t="s">
        <v>1117</v>
      </c>
      <c r="F270" s="280">
        <v>2010</v>
      </c>
      <c r="G270" s="42"/>
      <c r="H270" s="42" t="s">
        <v>137</v>
      </c>
      <c r="I270" s="42" t="s">
        <v>137</v>
      </c>
      <c r="J270" s="42">
        <v>2023</v>
      </c>
      <c r="K270" s="117">
        <v>40600</v>
      </c>
      <c r="L270" s="118">
        <v>0.125</v>
      </c>
      <c r="M270" s="119">
        <f t="shared" si="13"/>
        <v>5075</v>
      </c>
      <c r="N270" s="269">
        <f t="shared" si="14"/>
        <v>35121.687162214053</v>
      </c>
      <c r="O270" s="270">
        <f t="shared" si="15"/>
        <v>5478.3128377859439</v>
      </c>
      <c r="P270" s="42"/>
      <c r="Q270" s="42"/>
      <c r="R270" s="42" t="s">
        <v>1115</v>
      </c>
      <c r="S270" s="42"/>
      <c r="T270" s="43"/>
      <c r="U270" s="43"/>
    </row>
    <row r="271" spans="1:21" ht="31.2">
      <c r="A271" s="42" t="s">
        <v>790</v>
      </c>
      <c r="B271" s="42" t="s">
        <v>131</v>
      </c>
      <c r="C271" s="42" t="s">
        <v>181</v>
      </c>
      <c r="D271" s="42" t="s">
        <v>1120</v>
      </c>
      <c r="E271" s="42" t="s">
        <v>1117</v>
      </c>
      <c r="F271" s="280">
        <v>2010</v>
      </c>
      <c r="G271" s="42"/>
      <c r="H271" s="42" t="s">
        <v>137</v>
      </c>
      <c r="I271" s="42" t="s">
        <v>137</v>
      </c>
      <c r="J271" s="42">
        <v>2023</v>
      </c>
      <c r="K271" s="117">
        <v>40600</v>
      </c>
      <c r="L271" s="118">
        <v>0.125</v>
      </c>
      <c r="M271" s="119">
        <f t="shared" si="13"/>
        <v>5075</v>
      </c>
      <c r="N271" s="269">
        <f t="shared" si="14"/>
        <v>35121.687162214053</v>
      </c>
      <c r="O271" s="270">
        <f t="shared" si="15"/>
        <v>5478.3128377859439</v>
      </c>
      <c r="P271" s="42"/>
      <c r="Q271" s="42"/>
      <c r="R271" s="42" t="s">
        <v>1115</v>
      </c>
      <c r="S271" s="42"/>
      <c r="T271" s="43"/>
      <c r="U271" s="43"/>
    </row>
    <row r="272" spans="1:21" ht="31.2">
      <c r="A272" s="42" t="s">
        <v>790</v>
      </c>
      <c r="B272" s="42" t="s">
        <v>131</v>
      </c>
      <c r="C272" s="42" t="s">
        <v>181</v>
      </c>
      <c r="D272" s="42" t="s">
        <v>1121</v>
      </c>
      <c r="E272" s="42" t="s">
        <v>1117</v>
      </c>
      <c r="F272" s="280">
        <v>2010</v>
      </c>
      <c r="G272" s="42"/>
      <c r="H272" s="42" t="s">
        <v>137</v>
      </c>
      <c r="I272" s="42" t="s">
        <v>137</v>
      </c>
      <c r="J272" s="42">
        <v>2023</v>
      </c>
      <c r="K272" s="117">
        <v>40600</v>
      </c>
      <c r="L272" s="118">
        <v>0.125</v>
      </c>
      <c r="M272" s="119">
        <f t="shared" si="13"/>
        <v>5075</v>
      </c>
      <c r="N272" s="269">
        <f t="shared" si="14"/>
        <v>35121.687162214053</v>
      </c>
      <c r="O272" s="270">
        <f t="shared" si="15"/>
        <v>5478.3128377859439</v>
      </c>
      <c r="P272" s="42"/>
      <c r="Q272" s="42"/>
      <c r="R272" s="42" t="s">
        <v>1115</v>
      </c>
      <c r="S272" s="42"/>
      <c r="T272" s="43"/>
      <c r="U272" s="43"/>
    </row>
    <row r="273" spans="1:21" ht="31.2">
      <c r="A273" s="42" t="s">
        <v>790</v>
      </c>
      <c r="B273" s="42" t="s">
        <v>131</v>
      </c>
      <c r="C273" s="42" t="s">
        <v>181</v>
      </c>
      <c r="D273" s="42" t="s">
        <v>1122</v>
      </c>
      <c r="E273" s="42" t="s">
        <v>1117</v>
      </c>
      <c r="F273" s="280">
        <v>2010</v>
      </c>
      <c r="G273" s="42"/>
      <c r="H273" s="42" t="s">
        <v>137</v>
      </c>
      <c r="I273" s="42" t="s">
        <v>137</v>
      </c>
      <c r="J273" s="42">
        <v>2023</v>
      </c>
      <c r="K273" s="117">
        <v>40600</v>
      </c>
      <c r="L273" s="118">
        <v>0.125</v>
      </c>
      <c r="M273" s="119">
        <f t="shared" si="13"/>
        <v>5075</v>
      </c>
      <c r="N273" s="269">
        <f t="shared" si="14"/>
        <v>35121.687162214053</v>
      </c>
      <c r="O273" s="270">
        <f t="shared" si="15"/>
        <v>5478.3128377859439</v>
      </c>
      <c r="P273" s="42"/>
      <c r="Q273" s="42"/>
      <c r="R273" s="42" t="s">
        <v>1115</v>
      </c>
      <c r="S273" s="42"/>
      <c r="T273" s="43"/>
      <c r="U273" s="43"/>
    </row>
    <row r="274" spans="1:21" ht="31.2">
      <c r="A274" s="42" t="s">
        <v>790</v>
      </c>
      <c r="B274" s="42" t="s">
        <v>131</v>
      </c>
      <c r="C274" s="42" t="s">
        <v>181</v>
      </c>
      <c r="D274" s="42" t="s">
        <v>1123</v>
      </c>
      <c r="E274" s="42" t="s">
        <v>1117</v>
      </c>
      <c r="F274" s="280">
        <v>2010</v>
      </c>
      <c r="G274" s="42"/>
      <c r="H274" s="42" t="s">
        <v>137</v>
      </c>
      <c r="I274" s="42" t="s">
        <v>137</v>
      </c>
      <c r="J274" s="42">
        <v>2023</v>
      </c>
      <c r="K274" s="117">
        <v>40600</v>
      </c>
      <c r="L274" s="118">
        <v>0.125</v>
      </c>
      <c r="M274" s="119">
        <f t="shared" si="13"/>
        <v>5075</v>
      </c>
      <c r="N274" s="269">
        <f t="shared" si="14"/>
        <v>35121.687162214053</v>
      </c>
      <c r="O274" s="270">
        <f t="shared" si="15"/>
        <v>5478.3128377859439</v>
      </c>
      <c r="P274" s="42"/>
      <c r="Q274" s="42"/>
      <c r="R274" s="42" t="s">
        <v>1115</v>
      </c>
      <c r="S274" s="42"/>
      <c r="T274" s="43"/>
      <c r="U274" s="43"/>
    </row>
    <row r="275" spans="1:21" ht="31.2">
      <c r="A275" s="42" t="s">
        <v>790</v>
      </c>
      <c r="B275" s="42" t="s">
        <v>131</v>
      </c>
      <c r="C275" s="42" t="s">
        <v>181</v>
      </c>
      <c r="D275" s="42" t="s">
        <v>1124</v>
      </c>
      <c r="E275" s="42" t="s">
        <v>1117</v>
      </c>
      <c r="F275" s="280">
        <v>2010</v>
      </c>
      <c r="G275" s="42"/>
      <c r="H275" s="42" t="s">
        <v>137</v>
      </c>
      <c r="I275" s="42" t="s">
        <v>137</v>
      </c>
      <c r="J275" s="42">
        <v>2023</v>
      </c>
      <c r="K275" s="117">
        <v>40600</v>
      </c>
      <c r="L275" s="118">
        <v>0.125</v>
      </c>
      <c r="M275" s="119">
        <f t="shared" si="13"/>
        <v>5075</v>
      </c>
      <c r="N275" s="269">
        <f t="shared" si="14"/>
        <v>35121.687162214053</v>
      </c>
      <c r="O275" s="270">
        <f t="shared" si="15"/>
        <v>5478.3128377859439</v>
      </c>
      <c r="P275" s="42"/>
      <c r="Q275" s="42"/>
      <c r="R275" s="42" t="s">
        <v>1115</v>
      </c>
      <c r="S275" s="42"/>
      <c r="T275" s="43"/>
      <c r="U275" s="43"/>
    </row>
    <row r="276" spans="1:21" ht="31.2">
      <c r="A276" s="42" t="s">
        <v>790</v>
      </c>
      <c r="B276" s="42" t="s">
        <v>131</v>
      </c>
      <c r="C276" s="42" t="s">
        <v>181</v>
      </c>
      <c r="D276" s="42" t="s">
        <v>1125</v>
      </c>
      <c r="E276" s="42" t="s">
        <v>1117</v>
      </c>
      <c r="F276" s="280">
        <v>2010</v>
      </c>
      <c r="G276" s="42"/>
      <c r="H276" s="42" t="s">
        <v>137</v>
      </c>
      <c r="I276" s="42" t="s">
        <v>137</v>
      </c>
      <c r="J276" s="42">
        <v>2023</v>
      </c>
      <c r="K276" s="117">
        <v>40600</v>
      </c>
      <c r="L276" s="118">
        <v>0.125</v>
      </c>
      <c r="M276" s="119">
        <f t="shared" si="13"/>
        <v>5075</v>
      </c>
      <c r="N276" s="269">
        <f t="shared" si="14"/>
        <v>35121.687162214053</v>
      </c>
      <c r="O276" s="270">
        <f t="shared" si="15"/>
        <v>5478.3128377859439</v>
      </c>
      <c r="P276" s="42"/>
      <c r="Q276" s="42"/>
      <c r="R276" s="42" t="s">
        <v>1115</v>
      </c>
      <c r="S276" s="42"/>
      <c r="T276" s="43"/>
      <c r="U276" s="43"/>
    </row>
    <row r="277" spans="1:21" ht="31.2">
      <c r="A277" s="42" t="s">
        <v>790</v>
      </c>
      <c r="B277" s="42" t="s">
        <v>131</v>
      </c>
      <c r="C277" s="42" t="s">
        <v>181</v>
      </c>
      <c r="D277" s="42" t="s">
        <v>1126</v>
      </c>
      <c r="E277" s="42" t="s">
        <v>1117</v>
      </c>
      <c r="F277" s="280">
        <v>2010</v>
      </c>
      <c r="G277" s="42"/>
      <c r="H277" s="42" t="s">
        <v>137</v>
      </c>
      <c r="I277" s="42" t="s">
        <v>137</v>
      </c>
      <c r="J277" s="42">
        <v>2023</v>
      </c>
      <c r="K277" s="117">
        <v>40600</v>
      </c>
      <c r="L277" s="118">
        <v>0.125</v>
      </c>
      <c r="M277" s="119">
        <f t="shared" si="13"/>
        <v>5075</v>
      </c>
      <c r="N277" s="269">
        <f t="shared" si="14"/>
        <v>35121.687162214053</v>
      </c>
      <c r="O277" s="270">
        <f t="shared" si="15"/>
        <v>5478.3128377859439</v>
      </c>
      <c r="P277" s="42"/>
      <c r="Q277" s="42"/>
      <c r="R277" s="42" t="s">
        <v>1115</v>
      </c>
      <c r="S277" s="42"/>
      <c r="T277" s="43"/>
      <c r="U277" s="43"/>
    </row>
    <row r="278" spans="1:21" ht="31.2">
      <c r="A278" s="42" t="s">
        <v>790</v>
      </c>
      <c r="B278" s="42" t="s">
        <v>131</v>
      </c>
      <c r="C278" s="42" t="s">
        <v>181</v>
      </c>
      <c r="D278" s="42" t="s">
        <v>1127</v>
      </c>
      <c r="E278" s="42" t="s">
        <v>1117</v>
      </c>
      <c r="F278" s="280">
        <v>2010</v>
      </c>
      <c r="G278" s="42"/>
      <c r="H278" s="42" t="s">
        <v>137</v>
      </c>
      <c r="I278" s="42" t="s">
        <v>137</v>
      </c>
      <c r="J278" s="42">
        <v>2023</v>
      </c>
      <c r="K278" s="117">
        <v>40600</v>
      </c>
      <c r="L278" s="118">
        <v>0.125</v>
      </c>
      <c r="M278" s="119">
        <f t="shared" si="13"/>
        <v>5075</v>
      </c>
      <c r="N278" s="269">
        <f t="shared" si="14"/>
        <v>35121.687162214053</v>
      </c>
      <c r="O278" s="270">
        <f t="shared" si="15"/>
        <v>5478.3128377859439</v>
      </c>
      <c r="P278" s="42"/>
      <c r="Q278" s="42"/>
      <c r="R278" s="42" t="s">
        <v>1115</v>
      </c>
      <c r="S278" s="42"/>
      <c r="T278" s="43"/>
      <c r="U278" s="43"/>
    </row>
    <row r="279" spans="1:21" ht="31.2">
      <c r="A279" s="42" t="s">
        <v>790</v>
      </c>
      <c r="B279" s="42" t="s">
        <v>131</v>
      </c>
      <c r="C279" s="42" t="s">
        <v>181</v>
      </c>
      <c r="D279" s="42" t="s">
        <v>1128</v>
      </c>
      <c r="E279" s="42" t="s">
        <v>1117</v>
      </c>
      <c r="F279" s="280">
        <v>2010</v>
      </c>
      <c r="G279" s="42"/>
      <c r="H279" s="42" t="s">
        <v>137</v>
      </c>
      <c r="I279" s="42" t="s">
        <v>137</v>
      </c>
      <c r="J279" s="42">
        <v>2023</v>
      </c>
      <c r="K279" s="117">
        <v>40600</v>
      </c>
      <c r="L279" s="118">
        <v>0.125</v>
      </c>
      <c r="M279" s="119">
        <f t="shared" si="13"/>
        <v>5075</v>
      </c>
      <c r="N279" s="269">
        <f t="shared" si="14"/>
        <v>35121.687162214053</v>
      </c>
      <c r="O279" s="270">
        <f t="shared" si="15"/>
        <v>5478.3128377859439</v>
      </c>
      <c r="P279" s="42"/>
      <c r="Q279" s="42"/>
      <c r="R279" s="42" t="s">
        <v>1115</v>
      </c>
      <c r="S279" s="42"/>
      <c r="T279" s="43"/>
      <c r="U279" s="43"/>
    </row>
    <row r="280" spans="1:21" ht="31.2">
      <c r="A280" s="42" t="s">
        <v>790</v>
      </c>
      <c r="B280" s="42" t="s">
        <v>131</v>
      </c>
      <c r="C280" s="42" t="s">
        <v>181</v>
      </c>
      <c r="D280" s="42" t="s">
        <v>1129</v>
      </c>
      <c r="E280" s="42" t="s">
        <v>1117</v>
      </c>
      <c r="F280" s="280">
        <v>2010</v>
      </c>
      <c r="G280" s="42"/>
      <c r="H280" s="42" t="s">
        <v>137</v>
      </c>
      <c r="I280" s="42" t="s">
        <v>137</v>
      </c>
      <c r="J280" s="42">
        <v>2023</v>
      </c>
      <c r="K280" s="117">
        <v>40600</v>
      </c>
      <c r="L280" s="118">
        <v>0.125</v>
      </c>
      <c r="M280" s="119">
        <f t="shared" si="13"/>
        <v>5075</v>
      </c>
      <c r="N280" s="269">
        <f t="shared" si="14"/>
        <v>35121.687162214053</v>
      </c>
      <c r="O280" s="270">
        <f t="shared" si="15"/>
        <v>5478.3128377859439</v>
      </c>
      <c r="P280" s="42"/>
      <c r="Q280" s="42"/>
      <c r="R280" s="42" t="s">
        <v>1115</v>
      </c>
      <c r="S280" s="42"/>
      <c r="T280" s="43"/>
      <c r="U280" s="43"/>
    </row>
    <row r="281" spans="1:21" ht="31.2">
      <c r="A281" s="42" t="s">
        <v>790</v>
      </c>
      <c r="B281" s="42" t="s">
        <v>131</v>
      </c>
      <c r="C281" s="42" t="s">
        <v>181</v>
      </c>
      <c r="D281" s="42" t="s">
        <v>1130</v>
      </c>
      <c r="E281" s="42" t="s">
        <v>1117</v>
      </c>
      <c r="F281" s="280">
        <v>2010</v>
      </c>
      <c r="G281" s="42"/>
      <c r="H281" s="42" t="s">
        <v>137</v>
      </c>
      <c r="I281" s="42" t="s">
        <v>137</v>
      </c>
      <c r="J281" s="42">
        <v>2023</v>
      </c>
      <c r="K281" s="117">
        <v>40600</v>
      </c>
      <c r="L281" s="118">
        <v>0.125</v>
      </c>
      <c r="M281" s="119">
        <f t="shared" si="13"/>
        <v>5075</v>
      </c>
      <c r="N281" s="269">
        <f t="shared" si="14"/>
        <v>35121.687162214053</v>
      </c>
      <c r="O281" s="270">
        <f t="shared" si="15"/>
        <v>5478.3128377859439</v>
      </c>
      <c r="P281" s="42"/>
      <c r="Q281" s="42"/>
      <c r="R281" s="42" t="s">
        <v>751</v>
      </c>
      <c r="S281" s="42"/>
      <c r="T281" s="43"/>
      <c r="U281" s="43"/>
    </row>
    <row r="282" spans="1:21" ht="31.2">
      <c r="A282" s="42" t="s">
        <v>790</v>
      </c>
      <c r="B282" s="42" t="s">
        <v>131</v>
      </c>
      <c r="C282" s="42" t="s">
        <v>181</v>
      </c>
      <c r="D282" s="42" t="s">
        <v>1125</v>
      </c>
      <c r="E282" s="42" t="s">
        <v>1117</v>
      </c>
      <c r="F282" s="280">
        <v>2010</v>
      </c>
      <c r="G282" s="42"/>
      <c r="H282" s="42" t="s">
        <v>137</v>
      </c>
      <c r="I282" s="42" t="s">
        <v>137</v>
      </c>
      <c r="J282" s="42">
        <v>2023</v>
      </c>
      <c r="K282" s="117">
        <v>40600</v>
      </c>
      <c r="L282" s="118">
        <v>0.125</v>
      </c>
      <c r="M282" s="119">
        <f t="shared" si="13"/>
        <v>5075</v>
      </c>
      <c r="N282" s="269">
        <f t="shared" si="14"/>
        <v>35121.687162214053</v>
      </c>
      <c r="O282" s="270">
        <f t="shared" si="15"/>
        <v>5478.3128377859439</v>
      </c>
      <c r="P282" s="42"/>
      <c r="Q282" s="42"/>
      <c r="R282" s="42" t="s">
        <v>1115</v>
      </c>
      <c r="S282" s="42"/>
      <c r="T282" s="43"/>
      <c r="U282" s="43"/>
    </row>
    <row r="283" spans="1:21" ht="31.2">
      <c r="A283" s="42" t="s">
        <v>790</v>
      </c>
      <c r="B283" s="42" t="s">
        <v>131</v>
      </c>
      <c r="C283" s="42" t="s">
        <v>181</v>
      </c>
      <c r="D283" s="42" t="s">
        <v>1125</v>
      </c>
      <c r="E283" s="42" t="s">
        <v>1117</v>
      </c>
      <c r="F283" s="280">
        <v>2010</v>
      </c>
      <c r="G283" s="42"/>
      <c r="H283" s="42" t="s">
        <v>137</v>
      </c>
      <c r="I283" s="42" t="s">
        <v>137</v>
      </c>
      <c r="J283" s="42">
        <v>2023</v>
      </c>
      <c r="K283" s="117">
        <v>40600</v>
      </c>
      <c r="L283" s="118">
        <v>0.125</v>
      </c>
      <c r="M283" s="119">
        <f t="shared" si="13"/>
        <v>5075</v>
      </c>
      <c r="N283" s="269">
        <f t="shared" si="14"/>
        <v>35121.687162214053</v>
      </c>
      <c r="O283" s="270">
        <f t="shared" si="15"/>
        <v>5478.3128377859439</v>
      </c>
      <c r="P283" s="42"/>
      <c r="Q283" s="42"/>
      <c r="R283" s="42" t="s">
        <v>1115</v>
      </c>
      <c r="S283" s="42"/>
      <c r="T283" s="43"/>
      <c r="U283" s="43"/>
    </row>
    <row r="284" spans="1:21" ht="31.2">
      <c r="A284" s="42" t="s">
        <v>790</v>
      </c>
      <c r="B284" s="42" t="s">
        <v>131</v>
      </c>
      <c r="C284" s="42" t="s">
        <v>181</v>
      </c>
      <c r="D284" s="42" t="s">
        <v>1125</v>
      </c>
      <c r="E284" s="42" t="s">
        <v>1117</v>
      </c>
      <c r="F284" s="280">
        <v>2010</v>
      </c>
      <c r="G284" s="42"/>
      <c r="H284" s="42" t="s">
        <v>137</v>
      </c>
      <c r="I284" s="42" t="s">
        <v>137</v>
      </c>
      <c r="J284" s="42">
        <v>2023</v>
      </c>
      <c r="K284" s="117">
        <v>40600</v>
      </c>
      <c r="L284" s="118">
        <v>0.125</v>
      </c>
      <c r="M284" s="119">
        <f t="shared" si="13"/>
        <v>5075</v>
      </c>
      <c r="N284" s="269">
        <f t="shared" si="14"/>
        <v>35121.687162214053</v>
      </c>
      <c r="O284" s="270">
        <f t="shared" si="15"/>
        <v>5478.3128377859439</v>
      </c>
      <c r="P284" s="42"/>
      <c r="Q284" s="42"/>
      <c r="R284" s="42" t="s">
        <v>1115</v>
      </c>
      <c r="S284" s="42"/>
      <c r="T284" s="43"/>
      <c r="U284" s="43"/>
    </row>
    <row r="285" spans="1:21" ht="31.2">
      <c r="A285" s="42" t="s">
        <v>266</v>
      </c>
      <c r="B285" s="42" t="s">
        <v>131</v>
      </c>
      <c r="C285" s="42"/>
      <c r="D285" s="42" t="s">
        <v>181</v>
      </c>
      <c r="E285" s="42" t="s">
        <v>1131</v>
      </c>
      <c r="F285" s="280">
        <v>2010</v>
      </c>
      <c r="G285" s="42"/>
      <c r="H285" s="42" t="s">
        <v>137</v>
      </c>
      <c r="I285" s="42" t="s">
        <v>137</v>
      </c>
      <c r="J285" s="42">
        <v>2023</v>
      </c>
      <c r="K285" s="117">
        <v>885440</v>
      </c>
      <c r="L285" s="118">
        <v>0.125</v>
      </c>
      <c r="M285" s="119">
        <f t="shared" si="13"/>
        <v>110680</v>
      </c>
      <c r="N285" s="269">
        <f t="shared" si="14"/>
        <v>765964.20396332047</v>
      </c>
      <c r="O285" s="270">
        <f t="shared" si="15"/>
        <v>119475.79603667947</v>
      </c>
      <c r="P285" s="42"/>
      <c r="Q285" s="42"/>
      <c r="R285" s="42" t="s">
        <v>1115</v>
      </c>
      <c r="S285" s="42" t="s">
        <v>139</v>
      </c>
      <c r="T285" s="43"/>
      <c r="U285" s="43"/>
    </row>
    <row r="286" spans="1:21" ht="31.2">
      <c r="A286" s="42" t="s">
        <v>901</v>
      </c>
      <c r="B286" s="42" t="s">
        <v>131</v>
      </c>
      <c r="C286" s="43" t="s">
        <v>181</v>
      </c>
      <c r="D286" s="42" t="s">
        <v>1132</v>
      </c>
      <c r="E286" s="42" t="s">
        <v>1133</v>
      </c>
      <c r="F286" s="280">
        <v>2010</v>
      </c>
      <c r="G286" s="43"/>
      <c r="H286" s="42" t="s">
        <v>359</v>
      </c>
      <c r="I286" s="42" t="s">
        <v>359</v>
      </c>
      <c r="J286" s="43"/>
      <c r="K286" s="127">
        <v>0</v>
      </c>
      <c r="L286" s="118">
        <v>0.125</v>
      </c>
      <c r="M286" s="119">
        <f t="shared" si="13"/>
        <v>0</v>
      </c>
      <c r="N286" s="269">
        <f t="shared" si="14"/>
        <v>0</v>
      </c>
      <c r="O286" s="270">
        <f t="shared" si="15"/>
        <v>0</v>
      </c>
      <c r="P286" s="43"/>
      <c r="Q286" s="43"/>
      <c r="R286" s="43"/>
      <c r="S286" s="43"/>
      <c r="T286" s="43"/>
      <c r="U286" s="43"/>
    </row>
    <row r="287" spans="1:21" ht="31.2">
      <c r="A287" s="42" t="s">
        <v>901</v>
      </c>
      <c r="B287" s="42" t="s">
        <v>131</v>
      </c>
      <c r="C287" s="43" t="s">
        <v>181</v>
      </c>
      <c r="D287" s="42" t="s">
        <v>1134</v>
      </c>
      <c r="E287" s="42" t="s">
        <v>1133</v>
      </c>
      <c r="F287" s="280">
        <v>2010</v>
      </c>
      <c r="G287" s="43"/>
      <c r="H287" s="42" t="s">
        <v>359</v>
      </c>
      <c r="I287" s="42" t="s">
        <v>359</v>
      </c>
      <c r="J287" s="43"/>
      <c r="K287" s="127">
        <v>0</v>
      </c>
      <c r="L287" s="118">
        <v>0.125</v>
      </c>
      <c r="M287" s="119">
        <f t="shared" si="13"/>
        <v>0</v>
      </c>
      <c r="N287" s="269">
        <f t="shared" si="14"/>
        <v>0</v>
      </c>
      <c r="O287" s="270">
        <f t="shared" si="15"/>
        <v>0</v>
      </c>
      <c r="P287" s="43"/>
      <c r="Q287" s="43"/>
      <c r="R287" s="43"/>
      <c r="S287" s="43"/>
      <c r="T287" s="43"/>
      <c r="U287" s="43"/>
    </row>
    <row r="288" spans="1:21" ht="31.2">
      <c r="A288" s="42" t="s">
        <v>259</v>
      </c>
      <c r="B288" s="42" t="s">
        <v>131</v>
      </c>
      <c r="C288" s="43" t="s">
        <v>181</v>
      </c>
      <c r="D288" s="42" t="s">
        <v>1135</v>
      </c>
      <c r="E288" s="42" t="s">
        <v>1136</v>
      </c>
      <c r="F288" s="280">
        <v>2010</v>
      </c>
      <c r="G288" s="43"/>
      <c r="H288" s="42" t="s">
        <v>359</v>
      </c>
      <c r="I288" s="42" t="s">
        <v>359</v>
      </c>
      <c r="J288" s="43"/>
      <c r="K288" s="127">
        <v>0</v>
      </c>
      <c r="L288" s="118">
        <v>0.125</v>
      </c>
      <c r="M288" s="119">
        <f t="shared" si="13"/>
        <v>0</v>
      </c>
      <c r="N288" s="269">
        <f t="shared" si="14"/>
        <v>0</v>
      </c>
      <c r="O288" s="270">
        <f t="shared" si="15"/>
        <v>0</v>
      </c>
      <c r="P288" s="43"/>
      <c r="Q288" s="43"/>
      <c r="R288" s="43"/>
      <c r="S288" s="43"/>
      <c r="T288" s="43"/>
      <c r="U288" s="43"/>
    </row>
    <row r="289" spans="1:21" ht="31.2">
      <c r="A289" s="42" t="s">
        <v>901</v>
      </c>
      <c r="B289" s="42" t="s">
        <v>131</v>
      </c>
      <c r="C289" s="43" t="s">
        <v>181</v>
      </c>
      <c r="D289" s="42" t="s">
        <v>1137</v>
      </c>
      <c r="E289" s="42" t="s">
        <v>1136</v>
      </c>
      <c r="F289" s="280">
        <v>2010</v>
      </c>
      <c r="G289" s="43"/>
      <c r="H289" s="42" t="s">
        <v>359</v>
      </c>
      <c r="I289" s="42" t="s">
        <v>359</v>
      </c>
      <c r="J289" s="43"/>
      <c r="K289" s="127">
        <v>0</v>
      </c>
      <c r="L289" s="118">
        <v>0.125</v>
      </c>
      <c r="M289" s="119">
        <f t="shared" si="13"/>
        <v>0</v>
      </c>
      <c r="N289" s="269">
        <f t="shared" si="14"/>
        <v>0</v>
      </c>
      <c r="O289" s="270">
        <f t="shared" si="15"/>
        <v>0</v>
      </c>
      <c r="P289" s="43"/>
      <c r="Q289" s="43"/>
      <c r="R289" s="43"/>
      <c r="S289" s="43"/>
      <c r="T289" s="43"/>
      <c r="U289" s="43"/>
    </row>
    <row r="290" spans="1:21" ht="46.8">
      <c r="A290" s="42" t="s">
        <v>901</v>
      </c>
      <c r="B290" s="42" t="s">
        <v>131</v>
      </c>
      <c r="C290" s="43" t="s">
        <v>181</v>
      </c>
      <c r="D290" s="42" t="s">
        <v>1138</v>
      </c>
      <c r="E290" s="42" t="s">
        <v>1139</v>
      </c>
      <c r="F290" s="280">
        <v>2010</v>
      </c>
      <c r="G290" s="43"/>
      <c r="H290" s="42" t="s">
        <v>359</v>
      </c>
      <c r="I290" s="42" t="s">
        <v>359</v>
      </c>
      <c r="J290" s="43"/>
      <c r="K290" s="127">
        <v>17900</v>
      </c>
      <c r="L290" s="118">
        <v>0.125</v>
      </c>
      <c r="M290" s="119">
        <f t="shared" si="13"/>
        <v>2237.5</v>
      </c>
      <c r="N290" s="269">
        <f t="shared" si="14"/>
        <v>15484.684734079596</v>
      </c>
      <c r="O290" s="270">
        <f t="shared" si="15"/>
        <v>2415.3152659204038</v>
      </c>
      <c r="P290" s="43"/>
      <c r="Q290" s="43"/>
      <c r="R290" s="43"/>
      <c r="S290" s="43"/>
      <c r="T290" s="43"/>
      <c r="U290" s="43"/>
    </row>
    <row r="291" spans="1:21" ht="46.8">
      <c r="A291" s="42" t="s">
        <v>901</v>
      </c>
      <c r="B291" s="42" t="s">
        <v>131</v>
      </c>
      <c r="C291" s="43" t="s">
        <v>181</v>
      </c>
      <c r="D291" s="42" t="s">
        <v>1140</v>
      </c>
      <c r="E291" s="42" t="s">
        <v>1139</v>
      </c>
      <c r="F291" s="280">
        <v>2010</v>
      </c>
      <c r="G291" s="43"/>
      <c r="H291" s="42" t="s">
        <v>359</v>
      </c>
      <c r="I291" s="42" t="s">
        <v>359</v>
      </c>
      <c r="J291" s="43"/>
      <c r="K291" s="127">
        <v>17900</v>
      </c>
      <c r="L291" s="118">
        <v>0.125</v>
      </c>
      <c r="M291" s="119">
        <f t="shared" si="13"/>
        <v>2237.5</v>
      </c>
      <c r="N291" s="269">
        <f t="shared" si="14"/>
        <v>15484.684734079596</v>
      </c>
      <c r="O291" s="270">
        <f t="shared" si="15"/>
        <v>2415.3152659204038</v>
      </c>
      <c r="P291" s="43"/>
      <c r="Q291" s="43"/>
      <c r="R291" s="43"/>
      <c r="S291" s="43"/>
      <c r="T291" s="43"/>
      <c r="U291" s="43"/>
    </row>
    <row r="292" spans="1:21" ht="46.8">
      <c r="A292" s="42" t="s">
        <v>901</v>
      </c>
      <c r="B292" s="42" t="s">
        <v>131</v>
      </c>
      <c r="C292" s="43" t="s">
        <v>181</v>
      </c>
      <c r="D292" s="42" t="s">
        <v>1141</v>
      </c>
      <c r="E292" s="42" t="s">
        <v>1139</v>
      </c>
      <c r="F292" s="280">
        <v>2010</v>
      </c>
      <c r="G292" s="43"/>
      <c r="H292" s="42" t="s">
        <v>359</v>
      </c>
      <c r="I292" s="42" t="s">
        <v>359</v>
      </c>
      <c r="J292" s="43"/>
      <c r="K292" s="127">
        <v>17900</v>
      </c>
      <c r="L292" s="118">
        <v>0.125</v>
      </c>
      <c r="M292" s="119">
        <f t="shared" si="13"/>
        <v>2237.5</v>
      </c>
      <c r="N292" s="269">
        <f t="shared" si="14"/>
        <v>15484.684734079596</v>
      </c>
      <c r="O292" s="270">
        <f t="shared" si="15"/>
        <v>2415.3152659204038</v>
      </c>
      <c r="P292" s="43"/>
      <c r="Q292" s="43"/>
      <c r="R292" s="43"/>
      <c r="S292" s="43"/>
      <c r="T292" s="43"/>
      <c r="U292" s="43"/>
    </row>
    <row r="293" spans="1:21" ht="46.8">
      <c r="A293" s="42" t="s">
        <v>901</v>
      </c>
      <c r="B293" s="42" t="s">
        <v>131</v>
      </c>
      <c r="C293" s="43" t="s">
        <v>181</v>
      </c>
      <c r="D293" s="42" t="s">
        <v>1142</v>
      </c>
      <c r="E293" s="42" t="s">
        <v>1139</v>
      </c>
      <c r="F293" s="280">
        <v>2010</v>
      </c>
      <c r="G293" s="43"/>
      <c r="H293" s="42" t="s">
        <v>359</v>
      </c>
      <c r="I293" s="42" t="s">
        <v>359</v>
      </c>
      <c r="J293" s="43"/>
      <c r="K293" s="127">
        <v>17900</v>
      </c>
      <c r="L293" s="118">
        <v>0.125</v>
      </c>
      <c r="M293" s="119">
        <f t="shared" si="13"/>
        <v>2237.5</v>
      </c>
      <c r="N293" s="269">
        <f t="shared" si="14"/>
        <v>15484.684734079596</v>
      </c>
      <c r="O293" s="270">
        <f t="shared" si="15"/>
        <v>2415.3152659204038</v>
      </c>
      <c r="P293" s="43"/>
      <c r="Q293" s="43"/>
      <c r="R293" s="43"/>
      <c r="S293" s="43"/>
      <c r="T293" s="43"/>
      <c r="U293" s="43"/>
    </row>
    <row r="294" spans="1:21" ht="46.8">
      <c r="A294" s="42" t="s">
        <v>901</v>
      </c>
      <c r="B294" s="42" t="s">
        <v>131</v>
      </c>
      <c r="C294" s="43"/>
      <c r="D294" s="42" t="s">
        <v>1143</v>
      </c>
      <c r="E294" s="42" t="s">
        <v>1139</v>
      </c>
      <c r="F294" s="280">
        <v>2010</v>
      </c>
      <c r="G294" s="43"/>
      <c r="H294" s="42" t="s">
        <v>359</v>
      </c>
      <c r="I294" s="42" t="s">
        <v>359</v>
      </c>
      <c r="J294" s="43"/>
      <c r="K294" s="127">
        <v>17900</v>
      </c>
      <c r="L294" s="118">
        <v>0.125</v>
      </c>
      <c r="M294" s="119">
        <f t="shared" si="13"/>
        <v>2237.5</v>
      </c>
      <c r="N294" s="269">
        <f t="shared" si="14"/>
        <v>15484.684734079596</v>
      </c>
      <c r="O294" s="270">
        <f t="shared" si="15"/>
        <v>2415.3152659204038</v>
      </c>
      <c r="P294" s="43"/>
      <c r="Q294" s="43"/>
      <c r="R294" s="43"/>
      <c r="S294" s="43"/>
      <c r="T294" s="43"/>
      <c r="U294" s="43"/>
    </row>
    <row r="295" spans="1:21" ht="46.8">
      <c r="A295" s="42" t="s">
        <v>901</v>
      </c>
      <c r="B295" s="42" t="s">
        <v>131</v>
      </c>
      <c r="C295" s="43"/>
      <c r="D295" s="42" t="s">
        <v>1144</v>
      </c>
      <c r="E295" s="42" t="s">
        <v>1139</v>
      </c>
      <c r="F295" s="280">
        <v>2010</v>
      </c>
      <c r="G295" s="43"/>
      <c r="H295" s="42" t="s">
        <v>359</v>
      </c>
      <c r="I295" s="42" t="s">
        <v>359</v>
      </c>
      <c r="J295" s="43"/>
      <c r="K295" s="127">
        <v>17900</v>
      </c>
      <c r="L295" s="118">
        <v>0.125</v>
      </c>
      <c r="M295" s="119">
        <f t="shared" si="13"/>
        <v>2237.5</v>
      </c>
      <c r="N295" s="269">
        <f t="shared" si="14"/>
        <v>15484.684734079596</v>
      </c>
      <c r="O295" s="270">
        <f t="shared" si="15"/>
        <v>2415.3152659204038</v>
      </c>
      <c r="P295" s="43"/>
      <c r="Q295" s="43"/>
      <c r="R295" s="43"/>
      <c r="S295" s="43"/>
      <c r="T295" s="43"/>
      <c r="U295" s="43"/>
    </row>
    <row r="296" spans="1:21" ht="46.8">
      <c r="A296" s="42" t="s">
        <v>901</v>
      </c>
      <c r="B296" s="42" t="s">
        <v>131</v>
      </c>
      <c r="C296" s="43"/>
      <c r="D296" s="42" t="s">
        <v>1145</v>
      </c>
      <c r="E296" s="42" t="s">
        <v>1146</v>
      </c>
      <c r="F296" s="280">
        <v>2010</v>
      </c>
      <c r="G296" s="43"/>
      <c r="H296" s="42" t="s">
        <v>359</v>
      </c>
      <c r="I296" s="42" t="s">
        <v>359</v>
      </c>
      <c r="J296" s="43"/>
      <c r="K296" s="127">
        <v>34780</v>
      </c>
      <c r="L296" s="118">
        <v>0.125</v>
      </c>
      <c r="M296" s="119">
        <f t="shared" si="13"/>
        <v>4347.5</v>
      </c>
      <c r="N296" s="269">
        <f t="shared" si="14"/>
        <v>30087.001958172536</v>
      </c>
      <c r="O296" s="270">
        <f t="shared" si="15"/>
        <v>4692.9980418274663</v>
      </c>
      <c r="P296" s="43"/>
      <c r="Q296" s="43"/>
      <c r="R296" s="43"/>
      <c r="S296" s="43"/>
      <c r="T296" s="43"/>
      <c r="U296" s="43"/>
    </row>
    <row r="297" spans="1:21" ht="46.8">
      <c r="A297" s="42" t="s">
        <v>901</v>
      </c>
      <c r="B297" s="42" t="s">
        <v>131</v>
      </c>
      <c r="C297" s="43"/>
      <c r="D297" s="42" t="s">
        <v>1147</v>
      </c>
      <c r="E297" s="42" t="s">
        <v>1146</v>
      </c>
      <c r="F297" s="280">
        <v>2010</v>
      </c>
      <c r="G297" s="43"/>
      <c r="H297" s="42" t="s">
        <v>359</v>
      </c>
      <c r="I297" s="42" t="s">
        <v>359</v>
      </c>
      <c r="J297" s="43"/>
      <c r="K297" s="127">
        <v>34780</v>
      </c>
      <c r="L297" s="118">
        <v>0.125</v>
      </c>
      <c r="M297" s="119">
        <f t="shared" si="13"/>
        <v>4347.5</v>
      </c>
      <c r="N297" s="269">
        <f t="shared" si="14"/>
        <v>30087.001958172536</v>
      </c>
      <c r="O297" s="270">
        <f t="shared" si="15"/>
        <v>4692.9980418274663</v>
      </c>
      <c r="P297" s="43"/>
      <c r="Q297" s="43"/>
      <c r="R297" s="43"/>
      <c r="S297" s="43"/>
      <c r="T297" s="43"/>
      <c r="U297" s="43"/>
    </row>
    <row r="298" spans="1:21" ht="46.8">
      <c r="A298" s="42" t="s">
        <v>901</v>
      </c>
      <c r="B298" s="42" t="s">
        <v>131</v>
      </c>
      <c r="C298" s="43"/>
      <c r="D298" s="42" t="s">
        <v>1148</v>
      </c>
      <c r="E298" s="42" t="s">
        <v>1146</v>
      </c>
      <c r="F298" s="280">
        <v>2010</v>
      </c>
      <c r="G298" s="43"/>
      <c r="H298" s="42" t="s">
        <v>359</v>
      </c>
      <c r="I298" s="42" t="s">
        <v>359</v>
      </c>
      <c r="J298" s="43"/>
      <c r="K298" s="127">
        <v>34780</v>
      </c>
      <c r="L298" s="118">
        <v>0.125</v>
      </c>
      <c r="M298" s="119">
        <f t="shared" si="13"/>
        <v>4347.5</v>
      </c>
      <c r="N298" s="269">
        <f t="shared" si="14"/>
        <v>30087.001958172536</v>
      </c>
      <c r="O298" s="270">
        <f t="shared" si="15"/>
        <v>4692.9980418274663</v>
      </c>
      <c r="P298" s="43"/>
      <c r="Q298" s="43"/>
      <c r="R298" s="43"/>
      <c r="S298" s="43"/>
      <c r="T298" s="43"/>
      <c r="U298" s="43"/>
    </row>
    <row r="299" spans="1:21">
      <c r="A299" s="42" t="s">
        <v>901</v>
      </c>
      <c r="B299" s="42" t="s">
        <v>131</v>
      </c>
      <c r="C299" s="43"/>
      <c r="D299" s="42" t="s">
        <v>1149</v>
      </c>
      <c r="E299" s="42" t="s">
        <v>1150</v>
      </c>
      <c r="F299" s="280">
        <v>2010</v>
      </c>
      <c r="G299" s="43"/>
      <c r="H299" s="42" t="s">
        <v>359</v>
      </c>
      <c r="I299" s="42" t="s">
        <v>359</v>
      </c>
      <c r="J299" s="43"/>
      <c r="K299" s="127">
        <v>26000</v>
      </c>
      <c r="L299" s="118">
        <v>0.125</v>
      </c>
      <c r="M299" s="119">
        <f t="shared" si="13"/>
        <v>3250</v>
      </c>
      <c r="N299" s="269">
        <f t="shared" si="14"/>
        <v>22491.720842797178</v>
      </c>
      <c r="O299" s="270">
        <f t="shared" si="15"/>
        <v>3508.2791572028214</v>
      </c>
      <c r="P299" s="43"/>
      <c r="Q299" s="43"/>
      <c r="R299" s="43"/>
      <c r="S299" s="43"/>
      <c r="T299" s="43"/>
      <c r="U299" s="43"/>
    </row>
    <row r="300" spans="1:21">
      <c r="A300" s="42" t="s">
        <v>901</v>
      </c>
      <c r="B300" s="42" t="s">
        <v>131</v>
      </c>
      <c r="C300" s="43"/>
      <c r="D300" s="42" t="s">
        <v>1151</v>
      </c>
      <c r="E300" s="42" t="s">
        <v>1150</v>
      </c>
      <c r="F300" s="280">
        <v>2010</v>
      </c>
      <c r="G300" s="43"/>
      <c r="H300" s="42" t="s">
        <v>359</v>
      </c>
      <c r="I300" s="42" t="s">
        <v>359</v>
      </c>
      <c r="J300" s="43"/>
      <c r="K300" s="127">
        <v>26000</v>
      </c>
      <c r="L300" s="118">
        <v>0.125</v>
      </c>
      <c r="M300" s="119">
        <f t="shared" si="13"/>
        <v>3250</v>
      </c>
      <c r="N300" s="269">
        <f t="shared" si="14"/>
        <v>22491.720842797178</v>
      </c>
      <c r="O300" s="270">
        <f t="shared" si="15"/>
        <v>3508.2791572028214</v>
      </c>
      <c r="P300" s="43"/>
      <c r="Q300" s="43"/>
      <c r="R300" s="43"/>
      <c r="S300" s="43"/>
      <c r="T300" s="43"/>
      <c r="U300" s="43"/>
    </row>
    <row r="301" spans="1:21" ht="31.2">
      <c r="A301" s="42" t="s">
        <v>901</v>
      </c>
      <c r="B301" s="42" t="s">
        <v>131</v>
      </c>
      <c r="C301" s="43"/>
      <c r="D301" s="42" t="s">
        <v>1152</v>
      </c>
      <c r="E301" s="42" t="s">
        <v>1153</v>
      </c>
      <c r="F301" s="280">
        <v>2010</v>
      </c>
      <c r="G301" s="43"/>
      <c r="H301" s="42" t="s">
        <v>359</v>
      </c>
      <c r="I301" s="42" t="s">
        <v>359</v>
      </c>
      <c r="J301" s="43"/>
      <c r="K301" s="127">
        <v>32900</v>
      </c>
      <c r="L301" s="118">
        <v>0.125</v>
      </c>
      <c r="M301" s="119">
        <f t="shared" si="13"/>
        <v>4112.5</v>
      </c>
      <c r="N301" s="269">
        <f t="shared" si="14"/>
        <v>28460.677528001044</v>
      </c>
      <c r="O301" s="270">
        <f t="shared" si="15"/>
        <v>4439.3224719989548</v>
      </c>
      <c r="P301" s="43"/>
      <c r="Q301" s="43"/>
      <c r="R301" s="43"/>
      <c r="S301" s="43"/>
      <c r="T301" s="43"/>
      <c r="U301" s="43"/>
    </row>
    <row r="302" spans="1:21" ht="31.2">
      <c r="A302" s="42" t="s">
        <v>901</v>
      </c>
      <c r="B302" s="42" t="s">
        <v>131</v>
      </c>
      <c r="C302" s="43"/>
      <c r="D302" s="42" t="s">
        <v>1154</v>
      </c>
      <c r="E302" s="42" t="s">
        <v>1153</v>
      </c>
      <c r="F302" s="280">
        <v>2010</v>
      </c>
      <c r="G302" s="43"/>
      <c r="H302" s="42" t="s">
        <v>359</v>
      </c>
      <c r="I302" s="42" t="s">
        <v>359</v>
      </c>
      <c r="J302" s="43"/>
      <c r="K302" s="127">
        <v>0</v>
      </c>
      <c r="L302" s="118">
        <v>0.125</v>
      </c>
      <c r="M302" s="119">
        <f t="shared" si="13"/>
        <v>0</v>
      </c>
      <c r="N302" s="269">
        <f t="shared" si="14"/>
        <v>0</v>
      </c>
      <c r="O302" s="270">
        <f t="shared" si="15"/>
        <v>0</v>
      </c>
      <c r="P302" s="43"/>
      <c r="Q302" s="43"/>
      <c r="R302" s="43"/>
      <c r="S302" s="43"/>
      <c r="T302" s="43"/>
      <c r="U302" s="43"/>
    </row>
    <row r="303" spans="1:21" ht="46.8">
      <c r="A303" s="42" t="s">
        <v>901</v>
      </c>
      <c r="B303" s="42" t="s">
        <v>131</v>
      </c>
      <c r="C303" s="43"/>
      <c r="D303" s="42" t="s">
        <v>1155</v>
      </c>
      <c r="E303" s="42" t="s">
        <v>1156</v>
      </c>
      <c r="F303" s="280">
        <v>2010</v>
      </c>
      <c r="G303" s="43"/>
      <c r="H303" s="42" t="s">
        <v>208</v>
      </c>
      <c r="I303" s="42" t="s">
        <v>208</v>
      </c>
      <c r="J303" s="43"/>
      <c r="K303" s="127">
        <v>17900</v>
      </c>
      <c r="L303" s="118">
        <v>0.125</v>
      </c>
      <c r="M303" s="119">
        <f t="shared" si="13"/>
        <v>2237.5</v>
      </c>
      <c r="N303" s="269">
        <f t="shared" si="14"/>
        <v>15484.684734079596</v>
      </c>
      <c r="O303" s="270">
        <f t="shared" si="15"/>
        <v>2415.3152659204038</v>
      </c>
      <c r="P303" s="43"/>
      <c r="Q303" s="43"/>
      <c r="R303" s="43"/>
      <c r="S303" s="43"/>
      <c r="T303" s="43"/>
      <c r="U303" s="43"/>
    </row>
    <row r="304" spans="1:21" ht="46.8">
      <c r="A304" s="42" t="s">
        <v>901</v>
      </c>
      <c r="B304" s="42" t="s">
        <v>131</v>
      </c>
      <c r="C304" s="43"/>
      <c r="D304" s="42" t="s">
        <v>1157</v>
      </c>
      <c r="E304" s="42" t="s">
        <v>1156</v>
      </c>
      <c r="F304" s="280">
        <v>2010</v>
      </c>
      <c r="G304" s="43"/>
      <c r="H304" s="42" t="s">
        <v>208</v>
      </c>
      <c r="I304" s="42" t="s">
        <v>208</v>
      </c>
      <c r="J304" s="43"/>
      <c r="K304" s="127">
        <v>17900</v>
      </c>
      <c r="L304" s="118">
        <v>0.125</v>
      </c>
      <c r="M304" s="119">
        <f t="shared" si="13"/>
        <v>2237.5</v>
      </c>
      <c r="N304" s="269">
        <f t="shared" si="14"/>
        <v>15484.684734079596</v>
      </c>
      <c r="O304" s="270">
        <f t="shared" si="15"/>
        <v>2415.3152659204038</v>
      </c>
      <c r="P304" s="43"/>
      <c r="Q304" s="43"/>
      <c r="R304" s="43"/>
      <c r="S304" s="43"/>
      <c r="T304" s="43"/>
      <c r="U304" s="43"/>
    </row>
    <row r="305" spans="1:21">
      <c r="A305" s="42" t="s">
        <v>901</v>
      </c>
      <c r="B305" s="42" t="s">
        <v>131</v>
      </c>
      <c r="C305" s="43"/>
      <c r="D305" s="42" t="s">
        <v>1158</v>
      </c>
      <c r="E305" s="42" t="s">
        <v>1159</v>
      </c>
      <c r="F305" s="280">
        <v>2010</v>
      </c>
      <c r="G305" s="43"/>
      <c r="H305" s="42" t="s">
        <v>208</v>
      </c>
      <c r="I305" s="42" t="s">
        <v>208</v>
      </c>
      <c r="J305" s="43"/>
      <c r="K305" s="127">
        <v>104000</v>
      </c>
      <c r="L305" s="118">
        <v>0.125</v>
      </c>
      <c r="M305" s="119">
        <f t="shared" si="13"/>
        <v>13000</v>
      </c>
      <c r="N305" s="269">
        <f t="shared" si="14"/>
        <v>89966.883371188713</v>
      </c>
      <c r="O305" s="270">
        <f t="shared" si="15"/>
        <v>14033.116628811285</v>
      </c>
      <c r="P305" s="43"/>
      <c r="Q305" s="43"/>
      <c r="R305" s="43"/>
      <c r="S305" s="43"/>
      <c r="T305" s="43"/>
      <c r="U305" s="43"/>
    </row>
    <row r="306" spans="1:21" ht="31.2">
      <c r="A306" s="42" t="s">
        <v>901</v>
      </c>
      <c r="B306" s="42" t="s">
        <v>131</v>
      </c>
      <c r="C306" s="43"/>
      <c r="D306" s="42" t="s">
        <v>1160</v>
      </c>
      <c r="E306" s="42" t="s">
        <v>1161</v>
      </c>
      <c r="F306" s="280">
        <v>2010</v>
      </c>
      <c r="G306" s="43"/>
      <c r="H306" s="42" t="s">
        <v>208</v>
      </c>
      <c r="I306" s="42" t="s">
        <v>208</v>
      </c>
      <c r="J306" s="43"/>
      <c r="K306" s="127">
        <v>15734</v>
      </c>
      <c r="L306" s="118">
        <v>0.125</v>
      </c>
      <c r="M306" s="119">
        <f t="shared" si="13"/>
        <v>1966.75</v>
      </c>
      <c r="N306" s="269">
        <f t="shared" si="14"/>
        <v>13610.951374637338</v>
      </c>
      <c r="O306" s="270">
        <f t="shared" si="15"/>
        <v>2123.0486253626614</v>
      </c>
      <c r="P306" s="43"/>
      <c r="Q306" s="43"/>
      <c r="R306" s="43"/>
      <c r="S306" s="43"/>
      <c r="T306" s="43"/>
      <c r="U306" s="43"/>
    </row>
    <row r="307" spans="1:21" ht="31.2">
      <c r="A307" s="42" t="s">
        <v>901</v>
      </c>
      <c r="B307" s="42" t="s">
        <v>131</v>
      </c>
      <c r="C307" s="43"/>
      <c r="D307" s="42" t="s">
        <v>1162</v>
      </c>
      <c r="E307" s="42" t="s">
        <v>1161</v>
      </c>
      <c r="F307" s="280">
        <v>2010</v>
      </c>
      <c r="G307" s="43"/>
      <c r="H307" s="42" t="s">
        <v>208</v>
      </c>
      <c r="I307" s="42" t="s">
        <v>208</v>
      </c>
      <c r="J307" s="43"/>
      <c r="K307" s="127">
        <v>15734</v>
      </c>
      <c r="L307" s="118">
        <v>0.125</v>
      </c>
      <c r="M307" s="119">
        <f t="shared" si="13"/>
        <v>1966.75</v>
      </c>
      <c r="N307" s="269">
        <f t="shared" si="14"/>
        <v>13610.951374637338</v>
      </c>
      <c r="O307" s="270">
        <f t="shared" si="15"/>
        <v>2123.0486253626614</v>
      </c>
      <c r="P307" s="43"/>
      <c r="Q307" s="43"/>
      <c r="R307" s="43"/>
      <c r="S307" s="43"/>
      <c r="T307" s="43"/>
      <c r="U307" s="43"/>
    </row>
    <row r="308" spans="1:21" ht="19.2" customHeight="1">
      <c r="A308" s="42" t="s">
        <v>901</v>
      </c>
      <c r="B308" s="42" t="s">
        <v>131</v>
      </c>
      <c r="C308" s="43"/>
      <c r="D308" s="42" t="s">
        <v>1163</v>
      </c>
      <c r="E308" s="42" t="s">
        <v>1161</v>
      </c>
      <c r="F308" s="280">
        <v>2010</v>
      </c>
      <c r="G308" s="43"/>
      <c r="H308" s="42" t="s">
        <v>208</v>
      </c>
      <c r="I308" s="42" t="s">
        <v>208</v>
      </c>
      <c r="J308" s="43"/>
      <c r="K308" s="127">
        <v>15734</v>
      </c>
      <c r="L308" s="118">
        <v>0.125</v>
      </c>
      <c r="M308" s="119">
        <f t="shared" si="13"/>
        <v>1966.75</v>
      </c>
      <c r="N308" s="269">
        <f t="shared" si="14"/>
        <v>13610.951374637338</v>
      </c>
      <c r="O308" s="270">
        <f t="shared" si="15"/>
        <v>2123.0486253626614</v>
      </c>
      <c r="P308" s="43"/>
      <c r="Q308" s="43"/>
      <c r="R308" s="43"/>
      <c r="S308" s="43"/>
      <c r="T308" s="43"/>
      <c r="U308" s="43"/>
    </row>
    <row r="309" spans="1:21">
      <c r="A309" s="42" t="s">
        <v>901</v>
      </c>
      <c r="B309" s="42" t="s">
        <v>131</v>
      </c>
      <c r="C309" s="43"/>
      <c r="D309" s="42" t="s">
        <v>1164</v>
      </c>
      <c r="E309" s="42" t="s">
        <v>1165</v>
      </c>
      <c r="F309" s="280">
        <v>2010</v>
      </c>
      <c r="G309" s="43"/>
      <c r="H309" s="42" t="s">
        <v>208</v>
      </c>
      <c r="I309" s="42" t="s">
        <v>208</v>
      </c>
      <c r="J309" s="43"/>
      <c r="K309" s="127">
        <v>129992</v>
      </c>
      <c r="L309" s="118">
        <v>0.125</v>
      </c>
      <c r="M309" s="119">
        <f t="shared" si="13"/>
        <v>16249</v>
      </c>
      <c r="N309" s="269">
        <f t="shared" si="14"/>
        <v>112451.6836844958</v>
      </c>
      <c r="O309" s="270">
        <f t="shared" si="15"/>
        <v>17540.316315504198</v>
      </c>
      <c r="P309" s="43"/>
      <c r="Q309" s="43"/>
      <c r="R309" s="43"/>
      <c r="S309" s="43"/>
      <c r="T309" s="43"/>
      <c r="U309" s="43"/>
    </row>
    <row r="310" spans="1:21" ht="31.2">
      <c r="A310" s="42" t="s">
        <v>901</v>
      </c>
      <c r="B310" s="42" t="s">
        <v>131</v>
      </c>
      <c r="C310" s="43"/>
      <c r="D310" s="42" t="s">
        <v>1166</v>
      </c>
      <c r="E310" s="42" t="s">
        <v>1167</v>
      </c>
      <c r="F310" s="280">
        <v>2010</v>
      </c>
      <c r="G310" s="43"/>
      <c r="H310" s="42" t="s">
        <v>208</v>
      </c>
      <c r="I310" s="42" t="s">
        <v>208</v>
      </c>
      <c r="J310" s="43"/>
      <c r="K310" s="127">
        <v>21994</v>
      </c>
      <c r="L310" s="118">
        <v>0.125</v>
      </c>
      <c r="M310" s="119">
        <f t="shared" si="13"/>
        <v>2749.25</v>
      </c>
      <c r="N310" s="269">
        <f t="shared" si="14"/>
        <v>19026.265700633892</v>
      </c>
      <c r="O310" s="270">
        <f t="shared" si="15"/>
        <v>2967.7342993661096</v>
      </c>
      <c r="P310" s="43"/>
      <c r="Q310" s="43"/>
      <c r="R310" s="43"/>
      <c r="S310" s="43"/>
      <c r="T310" s="43"/>
      <c r="U310" s="43"/>
    </row>
    <row r="311" spans="1:21" ht="31.2">
      <c r="A311" s="42" t="s">
        <v>901</v>
      </c>
      <c r="B311" s="42" t="s">
        <v>131</v>
      </c>
      <c r="C311" s="43"/>
      <c r="D311" s="42" t="s">
        <v>1168</v>
      </c>
      <c r="E311" s="42" t="s">
        <v>1167</v>
      </c>
      <c r="F311" s="280">
        <v>2010</v>
      </c>
      <c r="G311" s="43"/>
      <c r="H311" s="42" t="s">
        <v>208</v>
      </c>
      <c r="I311" s="42" t="s">
        <v>208</v>
      </c>
      <c r="J311" s="43"/>
      <c r="K311" s="127">
        <v>12113</v>
      </c>
      <c r="L311" s="118">
        <v>0.125</v>
      </c>
      <c r="M311" s="119">
        <f t="shared" si="13"/>
        <v>1514.125</v>
      </c>
      <c r="N311" s="269">
        <f t="shared" si="14"/>
        <v>10478.5467141847</v>
      </c>
      <c r="O311" s="270">
        <f t="shared" si="15"/>
        <v>1634.4532858152991</v>
      </c>
      <c r="P311" s="43"/>
      <c r="Q311" s="43"/>
      <c r="R311" s="43"/>
      <c r="S311" s="43"/>
      <c r="T311" s="43"/>
      <c r="U311" s="43"/>
    </row>
    <row r="312" spans="1:21">
      <c r="A312" s="42" t="s">
        <v>901</v>
      </c>
      <c r="B312" s="42" t="s">
        <v>131</v>
      </c>
      <c r="C312" s="43"/>
      <c r="D312" s="42" t="s">
        <v>1169</v>
      </c>
      <c r="E312" s="42" t="s">
        <v>943</v>
      </c>
      <c r="F312" s="280">
        <v>2010</v>
      </c>
      <c r="G312" s="43"/>
      <c r="H312" s="42" t="s">
        <v>208</v>
      </c>
      <c r="I312" s="42" t="s">
        <v>208</v>
      </c>
      <c r="J312" s="43"/>
      <c r="K312" s="127">
        <f>51001/2</f>
        <v>25500.5</v>
      </c>
      <c r="L312" s="118">
        <v>0.125</v>
      </c>
      <c r="M312" s="119">
        <f t="shared" si="13"/>
        <v>3187.5625</v>
      </c>
      <c r="N312" s="269">
        <f t="shared" si="14"/>
        <v>22059.620282759595</v>
      </c>
      <c r="O312" s="270">
        <f t="shared" si="15"/>
        <v>3440.8797172404056</v>
      </c>
      <c r="P312" s="43"/>
      <c r="Q312" s="43"/>
      <c r="R312" s="43"/>
      <c r="S312" s="43"/>
      <c r="T312" s="43"/>
      <c r="U312" s="43"/>
    </row>
    <row r="313" spans="1:21">
      <c r="A313" s="42" t="s">
        <v>901</v>
      </c>
      <c r="B313" s="42" t="s">
        <v>131</v>
      </c>
      <c r="C313" s="43"/>
      <c r="D313" s="42" t="s">
        <v>1170</v>
      </c>
      <c r="E313" s="42" t="s">
        <v>1171</v>
      </c>
      <c r="F313" s="280">
        <v>2010</v>
      </c>
      <c r="G313" s="43"/>
      <c r="H313" s="42" t="s">
        <v>208</v>
      </c>
      <c r="I313" s="42" t="s">
        <v>208</v>
      </c>
      <c r="J313" s="43"/>
      <c r="K313" s="127">
        <v>25500.5</v>
      </c>
      <c r="L313" s="118">
        <v>0.125</v>
      </c>
      <c r="M313" s="119">
        <f t="shared" si="13"/>
        <v>3187.5625</v>
      </c>
      <c r="N313" s="269">
        <f t="shared" si="14"/>
        <v>22059.620282759595</v>
      </c>
      <c r="O313" s="270">
        <f t="shared" si="15"/>
        <v>3440.8797172404056</v>
      </c>
      <c r="P313" s="43"/>
      <c r="Q313" s="43"/>
      <c r="R313" s="43"/>
      <c r="S313" s="43"/>
      <c r="T313" s="43"/>
      <c r="U313" s="43"/>
    </row>
    <row r="314" spans="1:21" ht="31.2">
      <c r="A314" s="42" t="s">
        <v>901</v>
      </c>
      <c r="B314" s="42" t="s">
        <v>131</v>
      </c>
      <c r="C314" s="43"/>
      <c r="D314" s="42" t="s">
        <v>1172</v>
      </c>
      <c r="E314" s="42" t="s">
        <v>1173</v>
      </c>
      <c r="F314" s="280">
        <v>2010</v>
      </c>
      <c r="G314" s="43"/>
      <c r="H314" s="42" t="s">
        <v>208</v>
      </c>
      <c r="I314" s="42" t="s">
        <v>208</v>
      </c>
      <c r="J314" s="43"/>
      <c r="K314" s="127">
        <f>41438/2</f>
        <v>20719</v>
      </c>
      <c r="L314" s="118">
        <v>0.125</v>
      </c>
      <c r="M314" s="119">
        <f t="shared" ref="M314:M374" si="16">K314*L314</f>
        <v>2589.875</v>
      </c>
      <c r="N314" s="269">
        <f t="shared" si="14"/>
        <v>17923.306313150566</v>
      </c>
      <c r="O314" s="270">
        <f t="shared" si="15"/>
        <v>2795.6936868494331</v>
      </c>
      <c r="P314" s="43"/>
      <c r="Q314" s="43"/>
      <c r="R314" s="43"/>
      <c r="S314" s="43"/>
      <c r="T314" s="43"/>
      <c r="U314" s="43"/>
    </row>
    <row r="315" spans="1:21" ht="31.2">
      <c r="A315" s="42" t="s">
        <v>901</v>
      </c>
      <c r="B315" s="42" t="s">
        <v>131</v>
      </c>
      <c r="C315" s="43"/>
      <c r="D315" s="42" t="s">
        <v>1174</v>
      </c>
      <c r="E315" s="42" t="s">
        <v>1173</v>
      </c>
      <c r="F315" s="280">
        <v>2010</v>
      </c>
      <c r="G315" s="43"/>
      <c r="H315" s="42" t="s">
        <v>208</v>
      </c>
      <c r="I315" s="42" t="s">
        <v>208</v>
      </c>
      <c r="J315" s="43"/>
      <c r="K315" s="127">
        <v>20719</v>
      </c>
      <c r="L315" s="118">
        <v>0.125</v>
      </c>
      <c r="M315" s="119">
        <f t="shared" si="16"/>
        <v>2589.875</v>
      </c>
      <c r="N315" s="269">
        <f t="shared" si="14"/>
        <v>17923.306313150566</v>
      </c>
      <c r="O315" s="270">
        <f t="shared" si="15"/>
        <v>2795.6936868494331</v>
      </c>
      <c r="P315" s="43"/>
      <c r="Q315" s="43"/>
      <c r="R315" s="43"/>
      <c r="S315" s="43"/>
      <c r="T315" s="43"/>
      <c r="U315" s="43"/>
    </row>
    <row r="316" spans="1:21" ht="31.2">
      <c r="A316" s="42" t="s">
        <v>901</v>
      </c>
      <c r="B316" s="42" t="s">
        <v>131</v>
      </c>
      <c r="C316" s="43"/>
      <c r="D316" s="42" t="s">
        <v>1175</v>
      </c>
      <c r="E316" s="42" t="s">
        <v>874</v>
      </c>
      <c r="F316" s="280">
        <v>2010</v>
      </c>
      <c r="G316" s="43"/>
      <c r="H316" s="42" t="s">
        <v>208</v>
      </c>
      <c r="I316" s="42" t="s">
        <v>208</v>
      </c>
      <c r="J316" s="43"/>
      <c r="K316" s="127">
        <v>8661</v>
      </c>
      <c r="L316" s="118">
        <v>0.125</v>
      </c>
      <c r="M316" s="119">
        <f t="shared" si="16"/>
        <v>1082.625</v>
      </c>
      <c r="N316" s="269">
        <f t="shared" si="14"/>
        <v>7492.3382392102449</v>
      </c>
      <c r="O316" s="270">
        <f t="shared" si="15"/>
        <v>1168.6617607897551</v>
      </c>
      <c r="P316" s="43"/>
      <c r="Q316" s="43"/>
      <c r="R316" s="43"/>
      <c r="S316" s="43"/>
      <c r="T316" s="43"/>
      <c r="U316" s="43"/>
    </row>
    <row r="317" spans="1:21" ht="31.2">
      <c r="A317" s="42" t="s">
        <v>901</v>
      </c>
      <c r="B317" s="42" t="s">
        <v>131</v>
      </c>
      <c r="C317" s="43"/>
      <c r="D317" s="42" t="s">
        <v>1176</v>
      </c>
      <c r="E317" s="42" t="s">
        <v>874</v>
      </c>
      <c r="F317" s="280">
        <v>2010</v>
      </c>
      <c r="G317" s="43"/>
      <c r="H317" s="42" t="s">
        <v>208</v>
      </c>
      <c r="I317" s="42" t="s">
        <v>208</v>
      </c>
      <c r="J317" s="43"/>
      <c r="K317" s="127">
        <v>8661</v>
      </c>
      <c r="L317" s="118">
        <v>0.125</v>
      </c>
      <c r="M317" s="119">
        <f t="shared" si="16"/>
        <v>1082.625</v>
      </c>
      <c r="N317" s="269">
        <f t="shared" si="14"/>
        <v>7492.3382392102449</v>
      </c>
      <c r="O317" s="270">
        <f t="shared" si="15"/>
        <v>1168.6617607897551</v>
      </c>
      <c r="P317" s="43"/>
      <c r="Q317" s="43"/>
      <c r="R317" s="43"/>
      <c r="S317" s="43"/>
      <c r="T317" s="43"/>
      <c r="U317" s="43"/>
    </row>
    <row r="318" spans="1:21" ht="31.2">
      <c r="A318" s="42" t="s">
        <v>259</v>
      </c>
      <c r="B318" s="42" t="s">
        <v>131</v>
      </c>
      <c r="C318" s="43"/>
      <c r="D318" s="42" t="s">
        <v>1177</v>
      </c>
      <c r="E318" s="42" t="s">
        <v>874</v>
      </c>
      <c r="F318" s="280">
        <v>2010</v>
      </c>
      <c r="G318" s="43"/>
      <c r="H318" s="42" t="s">
        <v>208</v>
      </c>
      <c r="I318" s="42" t="s">
        <v>208</v>
      </c>
      <c r="J318" s="43"/>
      <c r="K318" s="127">
        <v>8661</v>
      </c>
      <c r="L318" s="118">
        <v>0.125</v>
      </c>
      <c r="M318" s="119">
        <f t="shared" si="16"/>
        <v>1082.625</v>
      </c>
      <c r="N318" s="269">
        <f t="shared" si="14"/>
        <v>7492.3382392102449</v>
      </c>
      <c r="O318" s="270">
        <f t="shared" si="15"/>
        <v>1168.6617607897551</v>
      </c>
      <c r="P318" s="43"/>
      <c r="Q318" s="43"/>
      <c r="R318" s="43"/>
      <c r="S318" s="43"/>
      <c r="T318" s="43"/>
      <c r="U318" s="43"/>
    </row>
    <row r="319" spans="1:21" ht="31.2">
      <c r="A319" s="42" t="s">
        <v>901</v>
      </c>
      <c r="B319" s="42" t="s">
        <v>131</v>
      </c>
      <c r="C319" s="43"/>
      <c r="D319" s="42" t="s">
        <v>1147</v>
      </c>
      <c r="E319" s="42" t="s">
        <v>874</v>
      </c>
      <c r="F319" s="280">
        <v>2010</v>
      </c>
      <c r="G319" s="43"/>
      <c r="H319" s="42" t="s">
        <v>208</v>
      </c>
      <c r="I319" s="42" t="s">
        <v>208</v>
      </c>
      <c r="J319" s="43"/>
      <c r="K319" s="127">
        <v>8661</v>
      </c>
      <c r="L319" s="118">
        <v>0.125</v>
      </c>
      <c r="M319" s="119">
        <f t="shared" si="16"/>
        <v>1082.625</v>
      </c>
      <c r="N319" s="269">
        <f t="shared" si="14"/>
        <v>7492.3382392102449</v>
      </c>
      <c r="O319" s="270">
        <f t="shared" si="15"/>
        <v>1168.6617607897551</v>
      </c>
      <c r="P319" s="43"/>
      <c r="Q319" s="43"/>
      <c r="R319" s="43"/>
      <c r="S319" s="43"/>
      <c r="T319" s="43"/>
      <c r="U319" s="43"/>
    </row>
    <row r="320" spans="1:21" ht="31.2">
      <c r="A320" s="42" t="s">
        <v>901</v>
      </c>
      <c r="B320" s="42" t="s">
        <v>131</v>
      </c>
      <c r="C320" s="43"/>
      <c r="D320" s="42" t="s">
        <v>1178</v>
      </c>
      <c r="E320" s="42" t="s">
        <v>874</v>
      </c>
      <c r="F320" s="280">
        <v>2010</v>
      </c>
      <c r="G320" s="43"/>
      <c r="H320" s="42" t="s">
        <v>208</v>
      </c>
      <c r="I320" s="42" t="s">
        <v>208</v>
      </c>
      <c r="J320" s="43"/>
      <c r="K320" s="127">
        <v>8661</v>
      </c>
      <c r="L320" s="118">
        <v>0.125</v>
      </c>
      <c r="M320" s="119">
        <f t="shared" si="16"/>
        <v>1082.625</v>
      </c>
      <c r="N320" s="269">
        <f t="shared" si="14"/>
        <v>7492.3382392102449</v>
      </c>
      <c r="O320" s="270">
        <f t="shared" si="15"/>
        <v>1168.6617607897551</v>
      </c>
      <c r="P320" s="43"/>
      <c r="Q320" s="43"/>
      <c r="R320" s="43"/>
      <c r="S320" s="43"/>
      <c r="T320" s="43"/>
      <c r="U320" s="43"/>
    </row>
    <row r="321" spans="1:21" ht="31.2">
      <c r="A321" s="42" t="s">
        <v>901</v>
      </c>
      <c r="B321" s="42" t="s">
        <v>131</v>
      </c>
      <c r="C321" s="43"/>
      <c r="D321" s="42" t="s">
        <v>1179</v>
      </c>
      <c r="E321" s="42" t="s">
        <v>1167</v>
      </c>
      <c r="F321" s="280">
        <v>2010</v>
      </c>
      <c r="G321" s="43"/>
      <c r="H321" s="42" t="s">
        <v>189</v>
      </c>
      <c r="I321" s="42" t="s">
        <v>189</v>
      </c>
      <c r="J321" s="43" t="s">
        <v>1180</v>
      </c>
      <c r="K321" s="127">
        <v>37092</v>
      </c>
      <c r="L321" s="118">
        <v>0.125</v>
      </c>
      <c r="M321" s="119">
        <f t="shared" si="16"/>
        <v>4636.5</v>
      </c>
      <c r="N321" s="269">
        <f t="shared" si="14"/>
        <v>32087.03498080896</v>
      </c>
      <c r="O321" s="270">
        <f t="shared" si="15"/>
        <v>5004.9650191910405</v>
      </c>
      <c r="P321" s="43"/>
      <c r="Q321" s="43"/>
      <c r="R321" s="43"/>
      <c r="S321" s="43"/>
      <c r="T321" s="43"/>
      <c r="U321" s="43"/>
    </row>
    <row r="322" spans="1:21" ht="31.2">
      <c r="A322" s="42" t="s">
        <v>901</v>
      </c>
      <c r="B322" s="42" t="s">
        <v>131</v>
      </c>
      <c r="C322" s="43"/>
      <c r="D322" s="42" t="s">
        <v>1181</v>
      </c>
      <c r="E322" s="42" t="s">
        <v>1182</v>
      </c>
      <c r="F322" s="280">
        <v>2010</v>
      </c>
      <c r="G322" s="43"/>
      <c r="H322" s="42" t="s">
        <v>189</v>
      </c>
      <c r="I322" s="42" t="s">
        <v>189</v>
      </c>
      <c r="J322" s="43" t="s">
        <v>1055</v>
      </c>
      <c r="K322" s="127">
        <v>31320</v>
      </c>
      <c r="L322" s="118">
        <v>0.125</v>
      </c>
      <c r="M322" s="119">
        <f t="shared" si="16"/>
        <v>3915</v>
      </c>
      <c r="N322" s="269">
        <f t="shared" si="14"/>
        <v>27093.872953707985</v>
      </c>
      <c r="O322" s="270">
        <f t="shared" si="15"/>
        <v>4226.1270462920138</v>
      </c>
      <c r="P322" s="43"/>
      <c r="Q322" s="43"/>
      <c r="R322" s="43"/>
      <c r="S322" s="43"/>
      <c r="T322" s="43"/>
      <c r="U322" s="43"/>
    </row>
    <row r="323" spans="1:21">
      <c r="A323" s="42" t="s">
        <v>901</v>
      </c>
      <c r="B323" s="42" t="s">
        <v>131</v>
      </c>
      <c r="C323" s="43"/>
      <c r="D323" s="42" t="s">
        <v>1183</v>
      </c>
      <c r="E323" s="42" t="s">
        <v>1184</v>
      </c>
      <c r="F323" s="280">
        <v>2010</v>
      </c>
      <c r="G323" s="43"/>
      <c r="H323" s="42" t="s">
        <v>189</v>
      </c>
      <c r="I323" s="42" t="s">
        <v>189</v>
      </c>
      <c r="J323" s="43"/>
      <c r="K323" s="127">
        <v>9570</v>
      </c>
      <c r="L323" s="118">
        <v>0.125</v>
      </c>
      <c r="M323" s="119">
        <f t="shared" si="16"/>
        <v>1196.25</v>
      </c>
      <c r="N323" s="269">
        <f t="shared" ref="N323:N386" si="17">K323-O323</f>
        <v>8278.683402521885</v>
      </c>
      <c r="O323" s="270">
        <f t="shared" ref="O323:O386" si="18">K323*(1-L323)^(2025-F323)</f>
        <v>1291.3165974781155</v>
      </c>
      <c r="P323" s="43"/>
      <c r="Q323" s="43"/>
      <c r="R323" s="43"/>
      <c r="S323" s="43"/>
      <c r="T323" s="43"/>
      <c r="U323" s="43"/>
    </row>
    <row r="324" spans="1:21">
      <c r="A324" s="42" t="s">
        <v>901</v>
      </c>
      <c r="B324" s="42" t="s">
        <v>131</v>
      </c>
      <c r="C324" s="43"/>
      <c r="D324" s="42" t="s">
        <v>1185</v>
      </c>
      <c r="E324" s="42" t="s">
        <v>943</v>
      </c>
      <c r="F324" s="280">
        <v>2010</v>
      </c>
      <c r="G324" s="43"/>
      <c r="H324" s="42" t="s">
        <v>189</v>
      </c>
      <c r="I324" s="42" t="s">
        <v>189</v>
      </c>
      <c r="J324" s="43"/>
      <c r="K324" s="127">
        <v>18216</v>
      </c>
      <c r="L324" s="118">
        <v>0.125</v>
      </c>
      <c r="M324" s="119">
        <f t="shared" si="16"/>
        <v>2277</v>
      </c>
      <c r="N324" s="269">
        <f t="shared" si="17"/>
        <v>15758.045648938209</v>
      </c>
      <c r="O324" s="270">
        <f t="shared" si="18"/>
        <v>2457.9543510617923</v>
      </c>
      <c r="P324" s="43"/>
      <c r="Q324" s="43"/>
      <c r="R324" s="43"/>
      <c r="S324" s="43"/>
      <c r="T324" s="43"/>
      <c r="U324" s="43"/>
    </row>
    <row r="325" spans="1:21">
      <c r="A325" s="42" t="s">
        <v>901</v>
      </c>
      <c r="B325" s="42" t="s">
        <v>131</v>
      </c>
      <c r="C325" s="43"/>
      <c r="D325" s="42" t="s">
        <v>1186</v>
      </c>
      <c r="E325" s="42" t="s">
        <v>943</v>
      </c>
      <c r="F325" s="280">
        <v>2010</v>
      </c>
      <c r="G325" s="43"/>
      <c r="H325" s="42" t="s">
        <v>189</v>
      </c>
      <c r="I325" s="42" t="s">
        <v>189</v>
      </c>
      <c r="J325" s="43"/>
      <c r="K325" s="127">
        <v>18216</v>
      </c>
      <c r="L325" s="118">
        <v>0.125</v>
      </c>
      <c r="M325" s="119">
        <f t="shared" si="16"/>
        <v>2277</v>
      </c>
      <c r="N325" s="269">
        <f t="shared" si="17"/>
        <v>15758.045648938209</v>
      </c>
      <c r="O325" s="270">
        <f t="shared" si="18"/>
        <v>2457.9543510617923</v>
      </c>
      <c r="P325" s="43"/>
      <c r="Q325" s="43"/>
      <c r="R325" s="43"/>
      <c r="S325" s="43"/>
      <c r="T325" s="43"/>
      <c r="U325" s="43"/>
    </row>
    <row r="326" spans="1:21" ht="31.2">
      <c r="A326" s="42" t="s">
        <v>901</v>
      </c>
      <c r="B326" s="42" t="s">
        <v>131</v>
      </c>
      <c r="C326" s="43"/>
      <c r="D326" s="42" t="s">
        <v>1187</v>
      </c>
      <c r="E326" s="42" t="s">
        <v>1188</v>
      </c>
      <c r="F326" s="280">
        <v>2010</v>
      </c>
      <c r="G326" s="43"/>
      <c r="H326" s="42" t="s">
        <v>189</v>
      </c>
      <c r="I326" s="42" t="s">
        <v>189</v>
      </c>
      <c r="J326" s="43"/>
      <c r="K326" s="127">
        <v>12078</v>
      </c>
      <c r="L326" s="118">
        <v>0.125</v>
      </c>
      <c r="M326" s="119">
        <f t="shared" si="16"/>
        <v>1509.75</v>
      </c>
      <c r="N326" s="269">
        <f t="shared" si="17"/>
        <v>10448.26939766555</v>
      </c>
      <c r="O326" s="270">
        <f t="shared" si="18"/>
        <v>1629.730602334449</v>
      </c>
      <c r="P326" s="43"/>
      <c r="Q326" s="43"/>
      <c r="R326" s="43"/>
      <c r="S326" s="43"/>
      <c r="T326" s="43"/>
      <c r="U326" s="43"/>
    </row>
    <row r="327" spans="1:21" ht="46.8">
      <c r="A327" s="42" t="s">
        <v>901</v>
      </c>
      <c r="B327" s="42" t="s">
        <v>131</v>
      </c>
      <c r="C327" s="43"/>
      <c r="D327" s="42" t="s">
        <v>1189</v>
      </c>
      <c r="E327" s="42" t="s">
        <v>1190</v>
      </c>
      <c r="F327" s="280">
        <v>2010</v>
      </c>
      <c r="G327" s="43"/>
      <c r="H327" s="42" t="s">
        <v>189</v>
      </c>
      <c r="I327" s="42" t="s">
        <v>189</v>
      </c>
      <c r="J327" s="43"/>
      <c r="K327" s="127">
        <v>17900</v>
      </c>
      <c r="L327" s="118">
        <v>0.125</v>
      </c>
      <c r="M327" s="119">
        <f t="shared" si="16"/>
        <v>2237.5</v>
      </c>
      <c r="N327" s="269">
        <f t="shared" si="17"/>
        <v>15484.684734079596</v>
      </c>
      <c r="O327" s="270">
        <f t="shared" si="18"/>
        <v>2415.3152659204038</v>
      </c>
      <c r="P327" s="43"/>
      <c r="Q327" s="43"/>
      <c r="R327" s="43"/>
      <c r="S327" s="43"/>
      <c r="T327" s="43"/>
      <c r="U327" s="43"/>
    </row>
    <row r="328" spans="1:21" ht="46.8">
      <c r="A328" s="42" t="s">
        <v>901</v>
      </c>
      <c r="B328" s="42" t="s">
        <v>131</v>
      </c>
      <c r="C328" s="43"/>
      <c r="D328" s="42" t="s">
        <v>1191</v>
      </c>
      <c r="E328" s="42" t="s">
        <v>1190</v>
      </c>
      <c r="F328" s="280">
        <v>2010</v>
      </c>
      <c r="G328" s="43"/>
      <c r="H328" s="42" t="s">
        <v>189</v>
      </c>
      <c r="I328" s="42" t="s">
        <v>189</v>
      </c>
      <c r="J328" s="43"/>
      <c r="K328" s="127">
        <v>17900</v>
      </c>
      <c r="L328" s="118">
        <v>0.125</v>
      </c>
      <c r="M328" s="119">
        <f t="shared" si="16"/>
        <v>2237.5</v>
      </c>
      <c r="N328" s="269">
        <f t="shared" si="17"/>
        <v>15484.684734079596</v>
      </c>
      <c r="O328" s="270">
        <f t="shared" si="18"/>
        <v>2415.3152659204038</v>
      </c>
      <c r="P328" s="43"/>
      <c r="Q328" s="43"/>
      <c r="R328" s="43"/>
      <c r="S328" s="43"/>
      <c r="T328" s="43"/>
      <c r="U328" s="43"/>
    </row>
    <row r="329" spans="1:21" ht="46.8">
      <c r="A329" s="42" t="s">
        <v>901</v>
      </c>
      <c r="B329" s="42" t="s">
        <v>131</v>
      </c>
      <c r="C329" s="43"/>
      <c r="D329" s="42" t="s">
        <v>1192</v>
      </c>
      <c r="E329" s="42" t="s">
        <v>1190</v>
      </c>
      <c r="F329" s="280">
        <v>2010</v>
      </c>
      <c r="G329" s="43"/>
      <c r="H329" s="42" t="s">
        <v>189</v>
      </c>
      <c r="I329" s="42" t="s">
        <v>189</v>
      </c>
      <c r="J329" s="43"/>
      <c r="K329" s="127">
        <v>17900</v>
      </c>
      <c r="L329" s="118">
        <v>0.125</v>
      </c>
      <c r="M329" s="119">
        <f t="shared" si="16"/>
        <v>2237.5</v>
      </c>
      <c r="N329" s="269">
        <f t="shared" si="17"/>
        <v>15484.684734079596</v>
      </c>
      <c r="O329" s="270">
        <f t="shared" si="18"/>
        <v>2415.3152659204038</v>
      </c>
      <c r="P329" s="43"/>
      <c r="Q329" s="43"/>
      <c r="R329" s="43"/>
      <c r="S329" s="43"/>
      <c r="T329" s="43"/>
      <c r="U329" s="43"/>
    </row>
    <row r="330" spans="1:21" ht="46.8">
      <c r="A330" s="42" t="s">
        <v>259</v>
      </c>
      <c r="B330" s="42" t="s">
        <v>131</v>
      </c>
      <c r="C330" s="43"/>
      <c r="D330" s="42" t="s">
        <v>1193</v>
      </c>
      <c r="E330" s="42" t="s">
        <v>1190</v>
      </c>
      <c r="F330" s="280">
        <v>2010</v>
      </c>
      <c r="G330" s="43"/>
      <c r="H330" s="42" t="s">
        <v>189</v>
      </c>
      <c r="I330" s="42" t="s">
        <v>189</v>
      </c>
      <c r="J330" s="43"/>
      <c r="K330" s="127">
        <v>17900</v>
      </c>
      <c r="L330" s="118">
        <v>0.125</v>
      </c>
      <c r="M330" s="119">
        <f t="shared" si="16"/>
        <v>2237.5</v>
      </c>
      <c r="N330" s="269">
        <f t="shared" si="17"/>
        <v>15484.684734079596</v>
      </c>
      <c r="O330" s="270">
        <f t="shared" si="18"/>
        <v>2415.3152659204038</v>
      </c>
      <c r="P330" s="43"/>
      <c r="Q330" s="43"/>
      <c r="R330" s="43"/>
      <c r="S330" s="43"/>
      <c r="T330" s="43"/>
      <c r="U330" s="43"/>
    </row>
    <row r="331" spans="1:21" ht="46.8">
      <c r="A331" s="42" t="s">
        <v>901</v>
      </c>
      <c r="B331" s="42" t="s">
        <v>131</v>
      </c>
      <c r="C331" s="43"/>
      <c r="D331" s="42" t="s">
        <v>1194</v>
      </c>
      <c r="E331" s="42" t="s">
        <v>1190</v>
      </c>
      <c r="F331" s="280">
        <v>2010</v>
      </c>
      <c r="G331" s="43"/>
      <c r="H331" s="42" t="s">
        <v>189</v>
      </c>
      <c r="I331" s="42" t="s">
        <v>189</v>
      </c>
      <c r="J331" s="43"/>
      <c r="K331" s="127">
        <v>17900</v>
      </c>
      <c r="L331" s="118">
        <v>0.125</v>
      </c>
      <c r="M331" s="119">
        <f t="shared" si="16"/>
        <v>2237.5</v>
      </c>
      <c r="N331" s="269">
        <f t="shared" si="17"/>
        <v>15484.684734079596</v>
      </c>
      <c r="O331" s="270">
        <f t="shared" si="18"/>
        <v>2415.3152659204038</v>
      </c>
      <c r="P331" s="43"/>
      <c r="Q331" s="43"/>
      <c r="R331" s="43"/>
      <c r="S331" s="43"/>
      <c r="T331" s="43"/>
      <c r="U331" s="43"/>
    </row>
    <row r="332" spans="1:21" ht="46.8">
      <c r="A332" s="42" t="s">
        <v>901</v>
      </c>
      <c r="B332" s="42" t="s">
        <v>131</v>
      </c>
      <c r="C332" s="43"/>
      <c r="D332" s="42" t="s">
        <v>1195</v>
      </c>
      <c r="E332" s="42" t="s">
        <v>1196</v>
      </c>
      <c r="F332" s="280">
        <v>2010</v>
      </c>
      <c r="G332" s="43"/>
      <c r="H332" s="42" t="s">
        <v>189</v>
      </c>
      <c r="I332" s="42" t="s">
        <v>189</v>
      </c>
      <c r="J332" s="43"/>
      <c r="K332" s="127">
        <v>17900</v>
      </c>
      <c r="L332" s="118">
        <v>0.125</v>
      </c>
      <c r="M332" s="119">
        <f t="shared" si="16"/>
        <v>2237.5</v>
      </c>
      <c r="N332" s="269">
        <f t="shared" si="17"/>
        <v>15484.684734079596</v>
      </c>
      <c r="O332" s="270">
        <f t="shared" si="18"/>
        <v>2415.3152659204038</v>
      </c>
      <c r="P332" s="43"/>
      <c r="Q332" s="43"/>
      <c r="R332" s="43"/>
      <c r="S332" s="43"/>
      <c r="T332" s="43"/>
      <c r="U332" s="43"/>
    </row>
    <row r="333" spans="1:21" ht="46.8">
      <c r="A333" s="42" t="s">
        <v>901</v>
      </c>
      <c r="B333" s="42" t="s">
        <v>131</v>
      </c>
      <c r="C333" s="43"/>
      <c r="D333" s="42" t="s">
        <v>1197</v>
      </c>
      <c r="E333" s="42" t="s">
        <v>1196</v>
      </c>
      <c r="F333" s="280">
        <v>2010</v>
      </c>
      <c r="G333" s="43"/>
      <c r="H333" s="42" t="s">
        <v>189</v>
      </c>
      <c r="I333" s="42" t="s">
        <v>189</v>
      </c>
      <c r="J333" s="43"/>
      <c r="K333" s="127">
        <v>17900</v>
      </c>
      <c r="L333" s="118">
        <v>0.125</v>
      </c>
      <c r="M333" s="119">
        <f t="shared" si="16"/>
        <v>2237.5</v>
      </c>
      <c r="N333" s="269">
        <f t="shared" si="17"/>
        <v>15484.684734079596</v>
      </c>
      <c r="O333" s="270">
        <f t="shared" si="18"/>
        <v>2415.3152659204038</v>
      </c>
      <c r="P333" s="43"/>
      <c r="Q333" s="43"/>
      <c r="R333" s="43"/>
      <c r="S333" s="43"/>
      <c r="T333" s="43"/>
      <c r="U333" s="43"/>
    </row>
    <row r="334" spans="1:21" ht="46.8">
      <c r="A334" s="42" t="s">
        <v>901</v>
      </c>
      <c r="B334" s="42" t="s">
        <v>131</v>
      </c>
      <c r="C334" s="43"/>
      <c r="D334" s="42" t="s">
        <v>1198</v>
      </c>
      <c r="E334" s="42" t="s">
        <v>1196</v>
      </c>
      <c r="F334" s="280">
        <v>2010</v>
      </c>
      <c r="G334" s="43"/>
      <c r="H334" s="42" t="s">
        <v>189</v>
      </c>
      <c r="I334" s="42" t="s">
        <v>189</v>
      </c>
      <c r="J334" s="43"/>
      <c r="K334" s="127">
        <v>17900</v>
      </c>
      <c r="L334" s="118">
        <v>0.125</v>
      </c>
      <c r="M334" s="119">
        <f t="shared" si="16"/>
        <v>2237.5</v>
      </c>
      <c r="N334" s="269">
        <f t="shared" si="17"/>
        <v>15484.684734079596</v>
      </c>
      <c r="O334" s="270">
        <f t="shared" si="18"/>
        <v>2415.3152659204038</v>
      </c>
      <c r="P334" s="43"/>
      <c r="Q334" s="43"/>
      <c r="R334" s="43"/>
      <c r="S334" s="43"/>
      <c r="T334" s="43"/>
      <c r="U334" s="43"/>
    </row>
    <row r="335" spans="1:21" ht="46.8">
      <c r="A335" s="42" t="s">
        <v>901</v>
      </c>
      <c r="B335" s="42" t="s">
        <v>131</v>
      </c>
      <c r="C335" s="43"/>
      <c r="D335" s="42" t="s">
        <v>1199</v>
      </c>
      <c r="E335" s="42" t="s">
        <v>1196</v>
      </c>
      <c r="F335" s="280">
        <v>2010</v>
      </c>
      <c r="G335" s="43"/>
      <c r="H335" s="42" t="s">
        <v>189</v>
      </c>
      <c r="I335" s="42" t="s">
        <v>189</v>
      </c>
      <c r="J335" s="43"/>
      <c r="K335" s="127">
        <v>17900</v>
      </c>
      <c r="L335" s="118">
        <v>0.125</v>
      </c>
      <c r="M335" s="119">
        <f t="shared" si="16"/>
        <v>2237.5</v>
      </c>
      <c r="N335" s="269">
        <f t="shared" si="17"/>
        <v>15484.684734079596</v>
      </c>
      <c r="O335" s="270">
        <f t="shared" si="18"/>
        <v>2415.3152659204038</v>
      </c>
      <c r="P335" s="43"/>
      <c r="Q335" s="43"/>
      <c r="R335" s="43"/>
      <c r="S335" s="43"/>
      <c r="T335" s="43"/>
      <c r="U335" s="43"/>
    </row>
    <row r="336" spans="1:21" ht="46.8">
      <c r="A336" s="42" t="s">
        <v>259</v>
      </c>
      <c r="B336" s="42" t="s">
        <v>131</v>
      </c>
      <c r="C336" s="43"/>
      <c r="D336" s="42" t="s">
        <v>1200</v>
      </c>
      <c r="E336" s="42" t="s">
        <v>1196</v>
      </c>
      <c r="F336" s="280">
        <v>2010</v>
      </c>
      <c r="G336" s="43"/>
      <c r="H336" s="42" t="s">
        <v>189</v>
      </c>
      <c r="I336" s="42" t="s">
        <v>189</v>
      </c>
      <c r="J336" s="43"/>
      <c r="K336" s="127">
        <v>17900</v>
      </c>
      <c r="L336" s="118">
        <v>0.125</v>
      </c>
      <c r="M336" s="119">
        <f t="shared" si="16"/>
        <v>2237.5</v>
      </c>
      <c r="N336" s="269">
        <f t="shared" si="17"/>
        <v>15484.684734079596</v>
      </c>
      <c r="O336" s="270">
        <f t="shared" si="18"/>
        <v>2415.3152659204038</v>
      </c>
      <c r="P336" s="43"/>
      <c r="Q336" s="43"/>
      <c r="R336" s="43"/>
      <c r="S336" s="43"/>
      <c r="T336" s="43"/>
      <c r="U336" s="43"/>
    </row>
    <row r="337" spans="1:21" ht="46.8">
      <c r="A337" s="42" t="s">
        <v>901</v>
      </c>
      <c r="B337" s="42" t="s">
        <v>131</v>
      </c>
      <c r="C337" s="43"/>
      <c r="D337" s="42" t="s">
        <v>1201</v>
      </c>
      <c r="E337" s="42" t="s">
        <v>1196</v>
      </c>
      <c r="F337" s="280">
        <v>2010</v>
      </c>
      <c r="G337" s="43"/>
      <c r="H337" s="42" t="s">
        <v>189</v>
      </c>
      <c r="I337" s="42" t="s">
        <v>189</v>
      </c>
      <c r="J337" s="43"/>
      <c r="K337" s="127">
        <v>17900</v>
      </c>
      <c r="L337" s="118">
        <v>0.125</v>
      </c>
      <c r="M337" s="119">
        <f t="shared" si="16"/>
        <v>2237.5</v>
      </c>
      <c r="N337" s="269">
        <f t="shared" si="17"/>
        <v>15484.684734079596</v>
      </c>
      <c r="O337" s="270">
        <f t="shared" si="18"/>
        <v>2415.3152659204038</v>
      </c>
      <c r="P337" s="43"/>
      <c r="Q337" s="43"/>
      <c r="R337" s="43"/>
      <c r="S337" s="43"/>
      <c r="T337" s="43"/>
      <c r="U337" s="43"/>
    </row>
    <row r="338" spans="1:21" ht="46.8">
      <c r="A338" s="42" t="s">
        <v>901</v>
      </c>
      <c r="B338" s="42" t="s">
        <v>131</v>
      </c>
      <c r="C338" s="43"/>
      <c r="D338" s="42" t="s">
        <v>1202</v>
      </c>
      <c r="E338" s="42" t="s">
        <v>1196</v>
      </c>
      <c r="F338" s="280">
        <v>2010</v>
      </c>
      <c r="G338" s="43"/>
      <c r="H338" s="42" t="s">
        <v>189</v>
      </c>
      <c r="I338" s="42" t="s">
        <v>189</v>
      </c>
      <c r="J338" s="43"/>
      <c r="K338" s="127">
        <v>17900</v>
      </c>
      <c r="L338" s="118">
        <v>0.125</v>
      </c>
      <c r="M338" s="119">
        <f t="shared" si="16"/>
        <v>2237.5</v>
      </c>
      <c r="N338" s="269">
        <f t="shared" si="17"/>
        <v>15484.684734079596</v>
      </c>
      <c r="O338" s="270">
        <f t="shared" si="18"/>
        <v>2415.3152659204038</v>
      </c>
      <c r="P338" s="43"/>
      <c r="Q338" s="43"/>
      <c r="R338" s="43"/>
      <c r="S338" s="43"/>
      <c r="T338" s="43"/>
      <c r="U338" s="43"/>
    </row>
    <row r="339" spans="1:21" ht="31.2">
      <c r="A339" s="42" t="s">
        <v>901</v>
      </c>
      <c r="B339" s="42" t="s">
        <v>131</v>
      </c>
      <c r="C339" s="43"/>
      <c r="D339" s="42" t="s">
        <v>1203</v>
      </c>
      <c r="E339" s="42" t="s">
        <v>1204</v>
      </c>
      <c r="F339" s="280">
        <v>2010</v>
      </c>
      <c r="G339" s="43"/>
      <c r="H339" s="42" t="s">
        <v>189</v>
      </c>
      <c r="I339" s="42" t="s">
        <v>189</v>
      </c>
      <c r="J339" s="43"/>
      <c r="K339" s="127">
        <v>15103</v>
      </c>
      <c r="L339" s="118">
        <v>0.125</v>
      </c>
      <c r="M339" s="119">
        <f t="shared" si="16"/>
        <v>1887.875</v>
      </c>
      <c r="N339" s="269">
        <f t="shared" si="17"/>
        <v>13065.094611106377</v>
      </c>
      <c r="O339" s="270">
        <f t="shared" si="18"/>
        <v>2037.9053888936235</v>
      </c>
      <c r="P339" s="43"/>
      <c r="Q339" s="43"/>
      <c r="R339" s="43"/>
      <c r="S339" s="43"/>
      <c r="T339" s="43"/>
      <c r="U339" s="43"/>
    </row>
    <row r="340" spans="1:21" ht="31.2">
      <c r="A340" s="42" t="s">
        <v>901</v>
      </c>
      <c r="B340" s="42" t="s">
        <v>131</v>
      </c>
      <c r="C340" s="43"/>
      <c r="D340" s="42" t="s">
        <v>1205</v>
      </c>
      <c r="E340" s="42" t="s">
        <v>1204</v>
      </c>
      <c r="F340" s="280">
        <v>2010</v>
      </c>
      <c r="G340" s="43"/>
      <c r="H340" s="42" t="s">
        <v>189</v>
      </c>
      <c r="I340" s="42" t="s">
        <v>189</v>
      </c>
      <c r="J340" s="43"/>
      <c r="K340" s="127">
        <v>15103</v>
      </c>
      <c r="L340" s="118">
        <v>0.125</v>
      </c>
      <c r="M340" s="119">
        <f t="shared" si="16"/>
        <v>1887.875</v>
      </c>
      <c r="N340" s="269">
        <f t="shared" si="17"/>
        <v>13065.094611106377</v>
      </c>
      <c r="O340" s="270">
        <f t="shared" si="18"/>
        <v>2037.9053888936235</v>
      </c>
      <c r="P340" s="43"/>
      <c r="Q340" s="43"/>
      <c r="R340" s="43"/>
      <c r="S340" s="43"/>
      <c r="T340" s="43"/>
      <c r="U340" s="43"/>
    </row>
    <row r="341" spans="1:21" ht="46.8">
      <c r="A341" s="42" t="s">
        <v>901</v>
      </c>
      <c r="B341" s="42" t="s">
        <v>131</v>
      </c>
      <c r="C341" s="43"/>
      <c r="D341" s="42" t="s">
        <v>1206</v>
      </c>
      <c r="E341" s="42" t="s">
        <v>1146</v>
      </c>
      <c r="F341" s="280">
        <v>2010</v>
      </c>
      <c r="G341" s="43"/>
      <c r="H341" s="42" t="s">
        <v>189</v>
      </c>
      <c r="I341" s="42" t="s">
        <v>189</v>
      </c>
      <c r="J341" s="43"/>
      <c r="K341" s="127">
        <v>34780</v>
      </c>
      <c r="L341" s="118">
        <v>0.125</v>
      </c>
      <c r="M341" s="119">
        <f t="shared" si="16"/>
        <v>4347.5</v>
      </c>
      <c r="N341" s="269">
        <f t="shared" si="17"/>
        <v>30087.001958172536</v>
      </c>
      <c r="O341" s="270">
        <f t="shared" si="18"/>
        <v>4692.9980418274663</v>
      </c>
      <c r="P341" s="43"/>
      <c r="Q341" s="43"/>
      <c r="R341" s="43"/>
      <c r="S341" s="43"/>
      <c r="T341" s="43"/>
      <c r="U341" s="43"/>
    </row>
    <row r="342" spans="1:21" ht="31.2">
      <c r="A342" s="42" t="s">
        <v>901</v>
      </c>
      <c r="B342" s="42" t="s">
        <v>131</v>
      </c>
      <c r="C342" s="43"/>
      <c r="D342" s="42" t="s">
        <v>1207</v>
      </c>
      <c r="E342" s="42" t="s">
        <v>1208</v>
      </c>
      <c r="F342" s="280">
        <v>2010</v>
      </c>
      <c r="G342" s="43"/>
      <c r="H342" s="42" t="s">
        <v>189</v>
      </c>
      <c r="I342" s="42" t="s">
        <v>189</v>
      </c>
      <c r="J342" s="43"/>
      <c r="K342" s="127">
        <v>5800</v>
      </c>
      <c r="L342" s="118">
        <v>0.125</v>
      </c>
      <c r="M342" s="119">
        <f t="shared" si="16"/>
        <v>725</v>
      </c>
      <c r="N342" s="269">
        <f t="shared" si="17"/>
        <v>5017.3838803162935</v>
      </c>
      <c r="O342" s="270">
        <f t="shared" si="18"/>
        <v>782.6161196837063</v>
      </c>
      <c r="P342" s="43"/>
      <c r="Q342" s="43"/>
      <c r="R342" s="43"/>
      <c r="S342" s="43"/>
      <c r="T342" s="43"/>
      <c r="U342" s="43"/>
    </row>
    <row r="343" spans="1:21" ht="31.2">
      <c r="A343" s="42" t="s">
        <v>901</v>
      </c>
      <c r="B343" s="42" t="s">
        <v>131</v>
      </c>
      <c r="C343" s="43"/>
      <c r="D343" s="42" t="s">
        <v>1209</v>
      </c>
      <c r="E343" s="42" t="s">
        <v>1210</v>
      </c>
      <c r="F343" s="280">
        <v>2010</v>
      </c>
      <c r="G343" s="43"/>
      <c r="H343" s="42" t="s">
        <v>189</v>
      </c>
      <c r="I343" s="42" t="s">
        <v>189</v>
      </c>
      <c r="J343" s="43"/>
      <c r="K343" s="127">
        <v>22895</v>
      </c>
      <c r="L343" s="118">
        <v>0.125</v>
      </c>
      <c r="M343" s="119">
        <f t="shared" si="16"/>
        <v>2861.875</v>
      </c>
      <c r="N343" s="269">
        <f t="shared" si="17"/>
        <v>19805.690334455438</v>
      </c>
      <c r="O343" s="270">
        <f t="shared" si="18"/>
        <v>3089.3096655445615</v>
      </c>
      <c r="P343" s="43"/>
      <c r="Q343" s="43"/>
      <c r="R343" s="43"/>
      <c r="S343" s="43"/>
      <c r="T343" s="43"/>
      <c r="U343" s="43"/>
    </row>
    <row r="344" spans="1:21" ht="31.2">
      <c r="A344" s="42" t="s">
        <v>901</v>
      </c>
      <c r="B344" s="42" t="s">
        <v>131</v>
      </c>
      <c r="C344" s="43"/>
      <c r="D344" s="42" t="s">
        <v>1211</v>
      </c>
      <c r="E344" s="42" t="s">
        <v>1210</v>
      </c>
      <c r="F344" s="280">
        <v>2010</v>
      </c>
      <c r="G344" s="43"/>
      <c r="H344" s="42" t="s">
        <v>189</v>
      </c>
      <c r="I344" s="42" t="s">
        <v>189</v>
      </c>
      <c r="J344" s="43"/>
      <c r="K344" s="127">
        <v>22895</v>
      </c>
      <c r="L344" s="118">
        <v>0.125</v>
      </c>
      <c r="M344" s="119">
        <f t="shared" si="16"/>
        <v>2861.875</v>
      </c>
      <c r="N344" s="269">
        <f t="shared" si="17"/>
        <v>19805.690334455438</v>
      </c>
      <c r="O344" s="270">
        <f t="shared" si="18"/>
        <v>3089.3096655445615</v>
      </c>
      <c r="P344" s="43"/>
      <c r="Q344" s="43"/>
      <c r="R344" s="43"/>
      <c r="S344" s="43"/>
      <c r="T344" s="43"/>
      <c r="U344" s="43"/>
    </row>
    <row r="345" spans="1:21" ht="31.2">
      <c r="A345" s="42" t="s">
        <v>901</v>
      </c>
      <c r="B345" s="42" t="s">
        <v>131</v>
      </c>
      <c r="C345" s="43"/>
      <c r="D345" s="42" t="s">
        <v>1212</v>
      </c>
      <c r="E345" s="42" t="s">
        <v>1210</v>
      </c>
      <c r="F345" s="280">
        <v>2010</v>
      </c>
      <c r="G345" s="43"/>
      <c r="H345" s="42" t="s">
        <v>189</v>
      </c>
      <c r="I345" s="42" t="s">
        <v>189</v>
      </c>
      <c r="J345" s="43"/>
      <c r="K345" s="127">
        <v>22895</v>
      </c>
      <c r="L345" s="118">
        <v>0.125</v>
      </c>
      <c r="M345" s="119">
        <f t="shared" si="16"/>
        <v>2861.875</v>
      </c>
      <c r="N345" s="269">
        <f t="shared" si="17"/>
        <v>19805.690334455438</v>
      </c>
      <c r="O345" s="270">
        <f t="shared" si="18"/>
        <v>3089.3096655445615</v>
      </c>
      <c r="P345" s="43"/>
      <c r="Q345" s="43"/>
      <c r="R345" s="43"/>
      <c r="S345" s="43"/>
      <c r="T345" s="43"/>
      <c r="U345" s="43"/>
    </row>
    <row r="346" spans="1:21" ht="31.2">
      <c r="A346" s="42" t="s">
        <v>901</v>
      </c>
      <c r="B346" s="42" t="s">
        <v>131</v>
      </c>
      <c r="C346" s="43"/>
      <c r="D346" s="42" t="s">
        <v>1213</v>
      </c>
      <c r="E346" s="42" t="s">
        <v>1214</v>
      </c>
      <c r="F346" s="280">
        <v>2010</v>
      </c>
      <c r="G346" s="43"/>
      <c r="H346" s="42" t="s">
        <v>189</v>
      </c>
      <c r="I346" s="42" t="s">
        <v>189</v>
      </c>
      <c r="J346" s="43"/>
      <c r="K346" s="127">
        <v>19866</v>
      </c>
      <c r="L346" s="118">
        <v>0.125</v>
      </c>
      <c r="M346" s="119">
        <f t="shared" si="16"/>
        <v>2483.25</v>
      </c>
      <c r="N346" s="269">
        <f t="shared" si="17"/>
        <v>17185.404856269568</v>
      </c>
      <c r="O346" s="270">
        <f t="shared" si="18"/>
        <v>2680.5951437304325</v>
      </c>
      <c r="P346" s="43"/>
      <c r="Q346" s="43"/>
      <c r="R346" s="43"/>
      <c r="S346" s="43"/>
      <c r="T346" s="43"/>
      <c r="U346" s="43"/>
    </row>
    <row r="347" spans="1:21" ht="31.2">
      <c r="A347" s="42" t="s">
        <v>901</v>
      </c>
      <c r="B347" s="42" t="s">
        <v>131</v>
      </c>
      <c r="C347" s="43"/>
      <c r="D347" s="42" t="s">
        <v>1215</v>
      </c>
      <c r="E347" s="42" t="s">
        <v>1214</v>
      </c>
      <c r="F347" s="280">
        <v>2010</v>
      </c>
      <c r="G347" s="43"/>
      <c r="H347" s="42" t="s">
        <v>189</v>
      </c>
      <c r="I347" s="42" t="s">
        <v>189</v>
      </c>
      <c r="J347" s="43"/>
      <c r="K347" s="127">
        <v>19866</v>
      </c>
      <c r="L347" s="118">
        <v>0.125</v>
      </c>
      <c r="M347" s="119">
        <f t="shared" si="16"/>
        <v>2483.25</v>
      </c>
      <c r="N347" s="269">
        <f t="shared" si="17"/>
        <v>17185.404856269568</v>
      </c>
      <c r="O347" s="270">
        <f t="shared" si="18"/>
        <v>2680.5951437304325</v>
      </c>
      <c r="P347" s="43"/>
      <c r="Q347" s="43"/>
      <c r="R347" s="43"/>
      <c r="S347" s="43"/>
      <c r="T347" s="43"/>
      <c r="U347" s="43"/>
    </row>
    <row r="348" spans="1:21" ht="31.2">
      <c r="A348" s="42" t="s">
        <v>901</v>
      </c>
      <c r="B348" s="42" t="s">
        <v>131</v>
      </c>
      <c r="C348" s="43">
        <v>2016</v>
      </c>
      <c r="D348" s="42" t="s">
        <v>1216</v>
      </c>
      <c r="E348" s="42" t="s">
        <v>719</v>
      </c>
      <c r="F348" s="280">
        <v>2010</v>
      </c>
      <c r="G348" s="43"/>
      <c r="H348" s="42" t="s">
        <v>206</v>
      </c>
      <c r="I348" s="42" t="s">
        <v>206</v>
      </c>
      <c r="J348" s="43"/>
      <c r="K348" s="43">
        <f>52447/2</f>
        <v>26223.5</v>
      </c>
      <c r="L348" s="118">
        <v>0.125</v>
      </c>
      <c r="M348" s="119">
        <f t="shared" si="16"/>
        <v>3277.9375</v>
      </c>
      <c r="N348" s="269">
        <f t="shared" si="17"/>
        <v>22685.063135426608</v>
      </c>
      <c r="O348" s="270">
        <f t="shared" si="18"/>
        <v>3538.4368645733916</v>
      </c>
      <c r="P348" s="43"/>
      <c r="Q348" s="43"/>
      <c r="R348" s="43"/>
      <c r="S348" s="43"/>
      <c r="T348" s="43"/>
      <c r="U348" s="43"/>
    </row>
    <row r="349" spans="1:21" ht="30.75" customHeight="1">
      <c r="A349" s="42" t="s">
        <v>901</v>
      </c>
      <c r="B349" s="42" t="s">
        <v>131</v>
      </c>
      <c r="C349" s="43">
        <v>2016</v>
      </c>
      <c r="D349" s="42" t="s">
        <v>1217</v>
      </c>
      <c r="E349" s="42" t="s">
        <v>719</v>
      </c>
      <c r="F349" s="280">
        <v>2010</v>
      </c>
      <c r="G349" s="43"/>
      <c r="H349" s="42" t="s">
        <v>206</v>
      </c>
      <c r="I349" s="42" t="s">
        <v>206</v>
      </c>
      <c r="J349" s="43"/>
      <c r="K349" s="43">
        <v>26223.5</v>
      </c>
      <c r="L349" s="118">
        <v>0.125</v>
      </c>
      <c r="M349" s="119">
        <f t="shared" si="16"/>
        <v>3277.9375</v>
      </c>
      <c r="N349" s="269">
        <f t="shared" si="17"/>
        <v>22685.063135426608</v>
      </c>
      <c r="O349" s="270">
        <f t="shared" si="18"/>
        <v>3538.4368645733916</v>
      </c>
      <c r="P349" s="43"/>
      <c r="Q349" s="43"/>
      <c r="R349" s="43"/>
      <c r="S349" s="43"/>
      <c r="T349" s="43"/>
      <c r="U349" s="43"/>
    </row>
    <row r="350" spans="1:21" ht="31.2">
      <c r="A350" s="42" t="s">
        <v>901</v>
      </c>
      <c r="B350" s="42" t="s">
        <v>131</v>
      </c>
      <c r="C350" s="43">
        <v>2016</v>
      </c>
      <c r="D350" s="42" t="s">
        <v>1218</v>
      </c>
      <c r="E350" s="42" t="s">
        <v>884</v>
      </c>
      <c r="F350" s="280">
        <v>2010</v>
      </c>
      <c r="G350" s="43"/>
      <c r="H350" s="42" t="s">
        <v>206</v>
      </c>
      <c r="I350" s="42" t="s">
        <v>206</v>
      </c>
      <c r="J350" s="43"/>
      <c r="K350" s="43">
        <f>31470/2</f>
        <v>15735</v>
      </c>
      <c r="L350" s="118">
        <v>0.125</v>
      </c>
      <c r="M350" s="119">
        <f t="shared" si="16"/>
        <v>1966.875</v>
      </c>
      <c r="N350" s="269">
        <f t="shared" si="17"/>
        <v>13611.816440823601</v>
      </c>
      <c r="O350" s="270">
        <f t="shared" si="18"/>
        <v>2123.1835591763997</v>
      </c>
      <c r="P350" s="43"/>
      <c r="Q350" s="43"/>
      <c r="R350" s="43"/>
      <c r="S350" s="43"/>
      <c r="T350" s="43"/>
      <c r="U350" s="43"/>
    </row>
    <row r="351" spans="1:21" ht="31.2">
      <c r="A351" s="42" t="s">
        <v>901</v>
      </c>
      <c r="B351" s="42" t="s">
        <v>131</v>
      </c>
      <c r="C351" s="43">
        <v>2016</v>
      </c>
      <c r="D351" s="42" t="s">
        <v>1219</v>
      </c>
      <c r="E351" s="42" t="s">
        <v>884</v>
      </c>
      <c r="F351" s="280">
        <v>2010</v>
      </c>
      <c r="G351" s="43"/>
      <c r="H351" s="42" t="s">
        <v>206</v>
      </c>
      <c r="I351" s="42" t="s">
        <v>206</v>
      </c>
      <c r="J351" s="43"/>
      <c r="K351" s="43">
        <v>15735</v>
      </c>
      <c r="L351" s="118">
        <v>0.125</v>
      </c>
      <c r="M351" s="119">
        <f t="shared" si="16"/>
        <v>1966.875</v>
      </c>
      <c r="N351" s="269">
        <f t="shared" si="17"/>
        <v>13611.816440823601</v>
      </c>
      <c r="O351" s="270">
        <f t="shared" si="18"/>
        <v>2123.1835591763997</v>
      </c>
      <c r="P351" s="43"/>
      <c r="Q351" s="43"/>
      <c r="R351" s="43"/>
      <c r="S351" s="43"/>
      <c r="T351" s="43"/>
      <c r="U351" s="43"/>
    </row>
    <row r="352" spans="1:21" ht="31.2">
      <c r="A352" s="42" t="s">
        <v>901</v>
      </c>
      <c r="B352" s="42" t="s">
        <v>131</v>
      </c>
      <c r="C352" s="43">
        <v>2016</v>
      </c>
      <c r="D352" s="42" t="s">
        <v>1220</v>
      </c>
      <c r="E352" s="42" t="s">
        <v>874</v>
      </c>
      <c r="F352" s="280">
        <v>2010</v>
      </c>
      <c r="G352" s="43"/>
      <c r="H352" s="42" t="s">
        <v>206</v>
      </c>
      <c r="I352" s="42" t="s">
        <v>206</v>
      </c>
      <c r="J352" s="43"/>
      <c r="K352" s="43">
        <f>17323/2</f>
        <v>8661.5</v>
      </c>
      <c r="L352" s="118">
        <v>0.125</v>
      </c>
      <c r="M352" s="119">
        <f t="shared" si="16"/>
        <v>1082.6875</v>
      </c>
      <c r="N352" s="269">
        <f t="shared" si="17"/>
        <v>7492.7707723033755</v>
      </c>
      <c r="O352" s="270">
        <f t="shared" si="18"/>
        <v>1168.7292276966245</v>
      </c>
      <c r="P352" s="43"/>
      <c r="Q352" s="43"/>
      <c r="R352" s="43"/>
      <c r="S352" s="43"/>
      <c r="T352" s="43"/>
      <c r="U352" s="43"/>
    </row>
    <row r="353" spans="1:21" ht="31.2">
      <c r="A353" s="42" t="s">
        <v>259</v>
      </c>
      <c r="B353" s="42" t="s">
        <v>131</v>
      </c>
      <c r="C353" s="43">
        <v>2016</v>
      </c>
      <c r="D353" s="42" t="s">
        <v>1221</v>
      </c>
      <c r="E353" s="42" t="s">
        <v>874</v>
      </c>
      <c r="F353" s="280">
        <v>2010</v>
      </c>
      <c r="G353" s="43"/>
      <c r="H353" s="42" t="s">
        <v>206</v>
      </c>
      <c r="I353" s="42" t="s">
        <v>206</v>
      </c>
      <c r="J353" s="43"/>
      <c r="K353" s="43">
        <v>8661.5</v>
      </c>
      <c r="L353" s="118">
        <v>0.125</v>
      </c>
      <c r="M353" s="119">
        <f t="shared" si="16"/>
        <v>1082.6875</v>
      </c>
      <c r="N353" s="269">
        <f t="shared" si="17"/>
        <v>7492.7707723033755</v>
      </c>
      <c r="O353" s="270">
        <f t="shared" si="18"/>
        <v>1168.7292276966245</v>
      </c>
      <c r="P353" s="43"/>
      <c r="Q353" s="43"/>
      <c r="R353" s="43"/>
      <c r="S353" s="43"/>
      <c r="T353" s="43"/>
      <c r="U353" s="43"/>
    </row>
    <row r="354" spans="1:21" ht="31.2">
      <c r="A354" s="42" t="s">
        <v>901</v>
      </c>
      <c r="B354" s="42" t="s">
        <v>131</v>
      </c>
      <c r="C354" s="43">
        <v>2016</v>
      </c>
      <c r="D354" s="42" t="s">
        <v>1222</v>
      </c>
      <c r="E354" s="42" t="s">
        <v>874</v>
      </c>
      <c r="F354" s="280">
        <v>2010</v>
      </c>
      <c r="G354" s="43"/>
      <c r="H354" s="42" t="s">
        <v>206</v>
      </c>
      <c r="I354" s="42" t="s">
        <v>206</v>
      </c>
      <c r="J354" s="43"/>
      <c r="K354" s="43">
        <v>8661.5</v>
      </c>
      <c r="L354" s="118">
        <v>0.125</v>
      </c>
      <c r="M354" s="119">
        <f t="shared" si="16"/>
        <v>1082.6875</v>
      </c>
      <c r="N354" s="269">
        <f t="shared" si="17"/>
        <v>7492.7707723033755</v>
      </c>
      <c r="O354" s="270">
        <f t="shared" si="18"/>
        <v>1168.7292276966245</v>
      </c>
      <c r="P354" s="43"/>
      <c r="Q354" s="43"/>
      <c r="R354" s="43"/>
      <c r="S354" s="43"/>
      <c r="T354" s="43"/>
      <c r="U354" s="43"/>
    </row>
    <row r="355" spans="1:21" ht="31.2">
      <c r="A355" s="42" t="s">
        <v>901</v>
      </c>
      <c r="B355" s="42" t="s">
        <v>131</v>
      </c>
      <c r="C355" s="43">
        <v>2016</v>
      </c>
      <c r="D355" s="42" t="s">
        <v>1223</v>
      </c>
      <c r="E355" s="42" t="s">
        <v>874</v>
      </c>
      <c r="F355" s="280">
        <v>2010</v>
      </c>
      <c r="G355" s="43"/>
      <c r="H355" s="42" t="s">
        <v>206</v>
      </c>
      <c r="I355" s="42" t="s">
        <v>206</v>
      </c>
      <c r="J355" s="43"/>
      <c r="K355" s="43">
        <v>8661.5</v>
      </c>
      <c r="L355" s="118">
        <v>0.125</v>
      </c>
      <c r="M355" s="119">
        <f t="shared" si="16"/>
        <v>1082.6875</v>
      </c>
      <c r="N355" s="269">
        <f t="shared" si="17"/>
        <v>7492.7707723033755</v>
      </c>
      <c r="O355" s="270">
        <f t="shared" si="18"/>
        <v>1168.7292276966245</v>
      </c>
      <c r="P355" s="43"/>
      <c r="Q355" s="43"/>
      <c r="R355" s="43"/>
      <c r="S355" s="43"/>
      <c r="T355" s="43"/>
      <c r="U355" s="43"/>
    </row>
    <row r="356" spans="1:21" ht="31.2">
      <c r="A356" s="42" t="s">
        <v>901</v>
      </c>
      <c r="B356" s="42" t="s">
        <v>131</v>
      </c>
      <c r="C356" s="43">
        <v>2016</v>
      </c>
      <c r="D356" s="42" t="s">
        <v>1224</v>
      </c>
      <c r="E356" s="42" t="s">
        <v>874</v>
      </c>
      <c r="F356" s="280">
        <v>2010</v>
      </c>
      <c r="G356" s="43"/>
      <c r="H356" s="42" t="s">
        <v>206</v>
      </c>
      <c r="I356" s="42" t="s">
        <v>206</v>
      </c>
      <c r="J356" s="43"/>
      <c r="K356" s="43">
        <v>8661.5</v>
      </c>
      <c r="L356" s="118">
        <v>0.125</v>
      </c>
      <c r="M356" s="119">
        <f t="shared" si="16"/>
        <v>1082.6875</v>
      </c>
      <c r="N356" s="269">
        <f t="shared" si="17"/>
        <v>7492.7707723033755</v>
      </c>
      <c r="O356" s="270">
        <f t="shared" si="18"/>
        <v>1168.7292276966245</v>
      </c>
      <c r="P356" s="43"/>
      <c r="Q356" s="43"/>
      <c r="R356" s="43"/>
      <c r="S356" s="43"/>
      <c r="T356" s="43"/>
      <c r="U356" s="43"/>
    </row>
    <row r="357" spans="1:21" ht="31.2">
      <c r="A357" s="42" t="s">
        <v>901</v>
      </c>
      <c r="B357" s="42" t="s">
        <v>131</v>
      </c>
      <c r="C357" s="43">
        <v>2016</v>
      </c>
      <c r="D357" s="42" t="s">
        <v>1225</v>
      </c>
      <c r="E357" s="42" t="s">
        <v>874</v>
      </c>
      <c r="F357" s="280">
        <v>2010</v>
      </c>
      <c r="G357" s="43"/>
      <c r="H357" s="42" t="s">
        <v>206</v>
      </c>
      <c r="I357" s="42" t="s">
        <v>206</v>
      </c>
      <c r="J357" s="43"/>
      <c r="K357" s="43">
        <v>8661.5</v>
      </c>
      <c r="L357" s="118">
        <v>0.125</v>
      </c>
      <c r="M357" s="119">
        <f t="shared" si="16"/>
        <v>1082.6875</v>
      </c>
      <c r="N357" s="269">
        <f t="shared" si="17"/>
        <v>7492.7707723033755</v>
      </c>
      <c r="O357" s="270">
        <f t="shared" si="18"/>
        <v>1168.7292276966245</v>
      </c>
      <c r="P357" s="43"/>
      <c r="Q357" s="43"/>
      <c r="R357" s="43"/>
      <c r="S357" s="43"/>
      <c r="T357" s="43"/>
      <c r="U357" s="43"/>
    </row>
    <row r="358" spans="1:21" ht="31.2">
      <c r="A358" s="42" t="s">
        <v>901</v>
      </c>
      <c r="B358" s="42" t="s">
        <v>131</v>
      </c>
      <c r="C358" s="43">
        <v>2016</v>
      </c>
      <c r="D358" s="42" t="s">
        <v>1226</v>
      </c>
      <c r="E358" s="42" t="s">
        <v>1227</v>
      </c>
      <c r="F358" s="280">
        <v>2010</v>
      </c>
      <c r="G358" s="43"/>
      <c r="H358" s="42" t="s">
        <v>202</v>
      </c>
      <c r="I358" s="42" t="s">
        <v>202</v>
      </c>
      <c r="J358" s="43"/>
      <c r="K358" s="43">
        <f>51001+41438+7810/2</f>
        <v>96344</v>
      </c>
      <c r="L358" s="118">
        <v>0.125</v>
      </c>
      <c r="M358" s="119">
        <f t="shared" si="16"/>
        <v>12043</v>
      </c>
      <c r="N358" s="269">
        <f t="shared" si="17"/>
        <v>83343.936649171199</v>
      </c>
      <c r="O358" s="270">
        <f t="shared" si="18"/>
        <v>13000.063350828794</v>
      </c>
      <c r="P358" s="43"/>
      <c r="Q358" s="43"/>
      <c r="R358" s="43"/>
      <c r="S358" s="43"/>
      <c r="T358" s="43"/>
      <c r="U358" s="43"/>
    </row>
    <row r="359" spans="1:21" ht="31.2">
      <c r="A359" s="42" t="s">
        <v>901</v>
      </c>
      <c r="B359" s="42" t="s">
        <v>131</v>
      </c>
      <c r="C359" s="43">
        <v>2016</v>
      </c>
      <c r="D359" s="42" t="s">
        <v>1228</v>
      </c>
      <c r="E359" s="42" t="s">
        <v>1227</v>
      </c>
      <c r="F359" s="280">
        <v>2010</v>
      </c>
      <c r="G359" s="43"/>
      <c r="H359" s="42" t="s">
        <v>202</v>
      </c>
      <c r="I359" s="42" t="s">
        <v>202</v>
      </c>
      <c r="J359" s="43"/>
      <c r="K359" s="43">
        <v>96344</v>
      </c>
      <c r="L359" s="118">
        <v>0.125</v>
      </c>
      <c r="M359" s="119">
        <f t="shared" si="16"/>
        <v>12043</v>
      </c>
      <c r="N359" s="269">
        <f t="shared" si="17"/>
        <v>83343.936649171199</v>
      </c>
      <c r="O359" s="270">
        <f t="shared" si="18"/>
        <v>13000.063350828794</v>
      </c>
      <c r="P359" s="43"/>
      <c r="Q359" s="43"/>
      <c r="R359" s="43"/>
      <c r="S359" s="43"/>
      <c r="T359" s="43"/>
      <c r="U359" s="43"/>
    </row>
    <row r="360" spans="1:21" ht="31.2">
      <c r="A360" s="42" t="s">
        <v>901</v>
      </c>
      <c r="B360" s="42" t="s">
        <v>131</v>
      </c>
      <c r="C360" s="43">
        <v>2016</v>
      </c>
      <c r="D360" s="42" t="s">
        <v>1229</v>
      </c>
      <c r="E360" s="42" t="s">
        <v>1227</v>
      </c>
      <c r="F360" s="280">
        <v>2010</v>
      </c>
      <c r="G360" s="43"/>
      <c r="H360" s="42" t="s">
        <v>202</v>
      </c>
      <c r="I360" s="42" t="s">
        <v>202</v>
      </c>
      <c r="J360" s="43"/>
      <c r="K360" s="43">
        <v>96344</v>
      </c>
      <c r="L360" s="118">
        <v>0.125</v>
      </c>
      <c r="M360" s="119">
        <f t="shared" si="16"/>
        <v>12043</v>
      </c>
      <c r="N360" s="269">
        <f t="shared" si="17"/>
        <v>83343.936649171199</v>
      </c>
      <c r="O360" s="270">
        <f t="shared" si="18"/>
        <v>13000.063350828794</v>
      </c>
      <c r="P360" s="43"/>
      <c r="Q360" s="43"/>
      <c r="R360" s="43"/>
      <c r="S360" s="43"/>
      <c r="T360" s="43"/>
      <c r="U360" s="43"/>
    </row>
    <row r="361" spans="1:21" ht="31.2">
      <c r="A361" s="42" t="s">
        <v>901</v>
      </c>
      <c r="B361" s="42" t="s">
        <v>131</v>
      </c>
      <c r="C361" s="43">
        <v>2016</v>
      </c>
      <c r="D361" s="42" t="s">
        <v>1230</v>
      </c>
      <c r="E361" s="42" t="s">
        <v>1231</v>
      </c>
      <c r="F361" s="280">
        <v>2010</v>
      </c>
      <c r="G361" s="43"/>
      <c r="H361" s="42" t="s">
        <v>202</v>
      </c>
      <c r="I361" s="42" t="s">
        <v>202</v>
      </c>
      <c r="J361" s="43"/>
      <c r="K361" s="43">
        <f>83915/2</f>
        <v>41957.5</v>
      </c>
      <c r="L361" s="118">
        <v>0.125</v>
      </c>
      <c r="M361" s="119">
        <f t="shared" si="16"/>
        <v>5244.6875</v>
      </c>
      <c r="N361" s="269">
        <f t="shared" si="17"/>
        <v>36296.014510063949</v>
      </c>
      <c r="O361" s="270">
        <f t="shared" si="18"/>
        <v>5661.4854899360525</v>
      </c>
      <c r="P361" s="43"/>
      <c r="Q361" s="43"/>
      <c r="R361" s="43"/>
      <c r="S361" s="43"/>
      <c r="T361" s="43"/>
      <c r="U361" s="43"/>
    </row>
    <row r="362" spans="1:21" ht="31.2">
      <c r="A362" s="42" t="s">
        <v>901</v>
      </c>
      <c r="B362" s="42" t="s">
        <v>131</v>
      </c>
      <c r="C362" s="43">
        <v>2016</v>
      </c>
      <c r="D362" s="42" t="s">
        <v>1232</v>
      </c>
      <c r="E362" s="42" t="s">
        <v>1231</v>
      </c>
      <c r="F362" s="280">
        <v>2010</v>
      </c>
      <c r="G362" s="43"/>
      <c r="H362" s="42" t="s">
        <v>202</v>
      </c>
      <c r="I362" s="42" t="s">
        <v>202</v>
      </c>
      <c r="J362" s="43"/>
      <c r="K362" s="43">
        <v>41957.5</v>
      </c>
      <c r="L362" s="118">
        <v>0.125</v>
      </c>
      <c r="M362" s="119">
        <f t="shared" si="16"/>
        <v>5244.6875</v>
      </c>
      <c r="N362" s="269">
        <f t="shared" si="17"/>
        <v>36296.014510063949</v>
      </c>
      <c r="O362" s="270">
        <f t="shared" si="18"/>
        <v>5661.4854899360525</v>
      </c>
      <c r="P362" s="43"/>
      <c r="Q362" s="43"/>
      <c r="R362" s="43"/>
      <c r="S362" s="43"/>
      <c r="T362" s="43"/>
      <c r="U362" s="43"/>
    </row>
    <row r="363" spans="1:21" ht="31.2">
      <c r="A363" s="42" t="s">
        <v>901</v>
      </c>
      <c r="B363" s="42" t="s">
        <v>131</v>
      </c>
      <c r="C363" s="43">
        <v>2016</v>
      </c>
      <c r="D363" s="42" t="s">
        <v>1233</v>
      </c>
      <c r="E363" s="42" t="s">
        <v>1231</v>
      </c>
      <c r="F363" s="280">
        <v>2010</v>
      </c>
      <c r="G363" s="43"/>
      <c r="H363" s="42" t="s">
        <v>202</v>
      </c>
      <c r="I363" s="42" t="s">
        <v>202</v>
      </c>
      <c r="J363" s="43"/>
      <c r="K363" s="43">
        <v>41957.5</v>
      </c>
      <c r="L363" s="118">
        <v>0.125</v>
      </c>
      <c r="M363" s="119">
        <f t="shared" si="16"/>
        <v>5244.6875</v>
      </c>
      <c r="N363" s="269">
        <f t="shared" si="17"/>
        <v>36296.014510063949</v>
      </c>
      <c r="O363" s="270">
        <f t="shared" si="18"/>
        <v>5661.4854899360525</v>
      </c>
      <c r="P363" s="43"/>
      <c r="Q363" s="43"/>
      <c r="R363" s="43"/>
      <c r="S363" s="43"/>
      <c r="T363" s="43"/>
      <c r="U363" s="43"/>
    </row>
    <row r="364" spans="1:21" ht="31.2">
      <c r="A364" s="42" t="s">
        <v>901</v>
      </c>
      <c r="B364" s="42" t="s">
        <v>131</v>
      </c>
      <c r="C364" s="43">
        <v>2016</v>
      </c>
      <c r="D364" s="42" t="s">
        <v>1234</v>
      </c>
      <c r="E364" s="42" t="s">
        <v>1167</v>
      </c>
      <c r="F364" s="280">
        <v>2010</v>
      </c>
      <c r="G364" s="43"/>
      <c r="H364" s="42" t="s">
        <v>202</v>
      </c>
      <c r="I364" s="42" t="s">
        <v>202</v>
      </c>
      <c r="J364" s="43"/>
      <c r="K364" s="43">
        <f>21994+12113</f>
        <v>34107</v>
      </c>
      <c r="L364" s="118">
        <v>0.125</v>
      </c>
      <c r="M364" s="119">
        <f t="shared" si="16"/>
        <v>4263.375</v>
      </c>
      <c r="N364" s="269">
        <f t="shared" si="17"/>
        <v>29504.812414818593</v>
      </c>
      <c r="O364" s="270">
        <f t="shared" si="18"/>
        <v>4602.1875851814084</v>
      </c>
      <c r="P364" s="43"/>
      <c r="Q364" s="43"/>
      <c r="R364" s="43"/>
      <c r="S364" s="43"/>
      <c r="T364" s="43"/>
      <c r="U364" s="43"/>
    </row>
    <row r="365" spans="1:21" ht="31.2">
      <c r="A365" s="42" t="s">
        <v>901</v>
      </c>
      <c r="B365" s="42" t="s">
        <v>131</v>
      </c>
      <c r="C365" s="43">
        <v>2016</v>
      </c>
      <c r="D365" s="42" t="s">
        <v>1235</v>
      </c>
      <c r="E365" s="42" t="s">
        <v>1236</v>
      </c>
      <c r="F365" s="280">
        <v>2010</v>
      </c>
      <c r="G365" s="43"/>
      <c r="H365" s="42" t="s">
        <v>202</v>
      </c>
      <c r="I365" s="42" t="s">
        <v>202</v>
      </c>
      <c r="J365" s="43"/>
      <c r="K365" s="43">
        <f t="shared" ref="K365:K370" si="19">17532</f>
        <v>17532</v>
      </c>
      <c r="L365" s="118">
        <v>0.125</v>
      </c>
      <c r="M365" s="119">
        <f t="shared" si="16"/>
        <v>2191.5</v>
      </c>
      <c r="N365" s="269">
        <f t="shared" si="17"/>
        <v>15166.340377535391</v>
      </c>
      <c r="O365" s="270">
        <f t="shared" si="18"/>
        <v>2365.65962246461</v>
      </c>
      <c r="P365" s="43"/>
      <c r="Q365" s="43"/>
      <c r="R365" s="43"/>
      <c r="S365" s="43"/>
      <c r="T365" s="43"/>
      <c r="U365" s="43"/>
    </row>
    <row r="366" spans="1:21" ht="31.2">
      <c r="A366" s="42" t="s">
        <v>901</v>
      </c>
      <c r="B366" s="42" t="s">
        <v>131</v>
      </c>
      <c r="C366" s="43">
        <v>2016</v>
      </c>
      <c r="D366" s="42" t="s">
        <v>1237</v>
      </c>
      <c r="E366" s="42" t="s">
        <v>1236</v>
      </c>
      <c r="F366" s="280">
        <v>2010</v>
      </c>
      <c r="G366" s="43"/>
      <c r="H366" s="42" t="s">
        <v>202</v>
      </c>
      <c r="I366" s="42" t="s">
        <v>202</v>
      </c>
      <c r="J366" s="43"/>
      <c r="K366" s="43">
        <f t="shared" si="19"/>
        <v>17532</v>
      </c>
      <c r="L366" s="118">
        <v>0.125</v>
      </c>
      <c r="M366" s="119">
        <f t="shared" si="16"/>
        <v>2191.5</v>
      </c>
      <c r="N366" s="269">
        <f t="shared" si="17"/>
        <v>15166.340377535391</v>
      </c>
      <c r="O366" s="270">
        <f t="shared" si="18"/>
        <v>2365.65962246461</v>
      </c>
      <c r="P366" s="43"/>
      <c r="Q366" s="43"/>
      <c r="R366" s="43"/>
      <c r="S366" s="43"/>
      <c r="T366" s="43"/>
      <c r="U366" s="43"/>
    </row>
    <row r="367" spans="1:21" ht="31.2">
      <c r="A367" s="42" t="s">
        <v>901</v>
      </c>
      <c r="B367" s="42" t="s">
        <v>131</v>
      </c>
      <c r="C367" s="43">
        <v>2016</v>
      </c>
      <c r="D367" s="42" t="s">
        <v>1238</v>
      </c>
      <c r="E367" s="42" t="s">
        <v>1236</v>
      </c>
      <c r="F367" s="280">
        <v>2010</v>
      </c>
      <c r="G367" s="43"/>
      <c r="H367" s="42" t="s">
        <v>202</v>
      </c>
      <c r="I367" s="42" t="s">
        <v>202</v>
      </c>
      <c r="J367" s="43"/>
      <c r="K367" s="43">
        <f t="shared" si="19"/>
        <v>17532</v>
      </c>
      <c r="L367" s="118">
        <v>0.125</v>
      </c>
      <c r="M367" s="119">
        <f t="shared" si="16"/>
        <v>2191.5</v>
      </c>
      <c r="N367" s="269">
        <f t="shared" si="17"/>
        <v>15166.340377535391</v>
      </c>
      <c r="O367" s="270">
        <f t="shared" si="18"/>
        <v>2365.65962246461</v>
      </c>
      <c r="P367" s="43"/>
      <c r="Q367" s="43"/>
      <c r="R367" s="43"/>
      <c r="S367" s="43"/>
      <c r="T367" s="43"/>
      <c r="U367" s="43"/>
    </row>
    <row r="368" spans="1:21" ht="31.2">
      <c r="A368" s="42" t="s">
        <v>901</v>
      </c>
      <c r="B368" s="42" t="s">
        <v>131</v>
      </c>
      <c r="C368" s="43">
        <v>2016</v>
      </c>
      <c r="D368" s="42" t="s">
        <v>1239</v>
      </c>
      <c r="E368" s="42" t="s">
        <v>1236</v>
      </c>
      <c r="F368" s="280">
        <v>2010</v>
      </c>
      <c r="G368" s="43"/>
      <c r="H368" s="42" t="s">
        <v>202</v>
      </c>
      <c r="I368" s="42" t="s">
        <v>202</v>
      </c>
      <c r="J368" s="43"/>
      <c r="K368" s="43">
        <f t="shared" si="19"/>
        <v>17532</v>
      </c>
      <c r="L368" s="118">
        <v>0.125</v>
      </c>
      <c r="M368" s="119">
        <f t="shared" si="16"/>
        <v>2191.5</v>
      </c>
      <c r="N368" s="269">
        <f t="shared" si="17"/>
        <v>15166.340377535391</v>
      </c>
      <c r="O368" s="270">
        <f t="shared" si="18"/>
        <v>2365.65962246461</v>
      </c>
      <c r="P368" s="43"/>
      <c r="Q368" s="43"/>
      <c r="R368" s="43"/>
      <c r="S368" s="43"/>
      <c r="T368" s="43"/>
      <c r="U368" s="43"/>
    </row>
    <row r="369" spans="1:21" ht="31.2">
      <c r="A369" s="42" t="s">
        <v>901</v>
      </c>
      <c r="B369" s="42" t="s">
        <v>131</v>
      </c>
      <c r="C369" s="43">
        <v>2016</v>
      </c>
      <c r="D369" s="42" t="s">
        <v>1240</v>
      </c>
      <c r="E369" s="42" t="s">
        <v>1236</v>
      </c>
      <c r="F369" s="280">
        <v>2010</v>
      </c>
      <c r="G369" s="43"/>
      <c r="H369" s="42" t="s">
        <v>202</v>
      </c>
      <c r="I369" s="42" t="s">
        <v>202</v>
      </c>
      <c r="J369" s="43"/>
      <c r="K369" s="43">
        <f t="shared" si="19"/>
        <v>17532</v>
      </c>
      <c r="L369" s="118">
        <v>0.125</v>
      </c>
      <c r="M369" s="119">
        <f t="shared" si="16"/>
        <v>2191.5</v>
      </c>
      <c r="N369" s="269">
        <f t="shared" si="17"/>
        <v>15166.340377535391</v>
      </c>
      <c r="O369" s="270">
        <f t="shared" si="18"/>
        <v>2365.65962246461</v>
      </c>
      <c r="P369" s="43"/>
      <c r="Q369" s="43"/>
      <c r="R369" s="43"/>
      <c r="S369" s="43"/>
      <c r="T369" s="43"/>
      <c r="U369" s="43"/>
    </row>
    <row r="370" spans="1:21" ht="31.2">
      <c r="A370" s="42" t="s">
        <v>901</v>
      </c>
      <c r="B370" s="42" t="s">
        <v>131</v>
      </c>
      <c r="C370" s="43">
        <v>2016</v>
      </c>
      <c r="D370" s="42" t="s">
        <v>1241</v>
      </c>
      <c r="E370" s="42" t="s">
        <v>1236</v>
      </c>
      <c r="F370" s="280">
        <v>2010</v>
      </c>
      <c r="G370" s="43"/>
      <c r="H370" s="42" t="s">
        <v>202</v>
      </c>
      <c r="I370" s="42" t="s">
        <v>202</v>
      </c>
      <c r="J370" s="43"/>
      <c r="K370" s="43">
        <f t="shared" si="19"/>
        <v>17532</v>
      </c>
      <c r="L370" s="118">
        <v>0.125</v>
      </c>
      <c r="M370" s="119">
        <f t="shared" si="16"/>
        <v>2191.5</v>
      </c>
      <c r="N370" s="269">
        <f t="shared" si="17"/>
        <v>15166.340377535391</v>
      </c>
      <c r="O370" s="270">
        <f t="shared" si="18"/>
        <v>2365.65962246461</v>
      </c>
      <c r="P370" s="43"/>
      <c r="Q370" s="43"/>
      <c r="R370" s="43"/>
      <c r="S370" s="43"/>
      <c r="T370" s="43"/>
      <c r="U370" s="43"/>
    </row>
    <row r="371" spans="1:21" ht="31.2">
      <c r="A371" s="42" t="s">
        <v>901</v>
      </c>
      <c r="B371" s="42" t="s">
        <v>131</v>
      </c>
      <c r="C371" s="43">
        <v>2021</v>
      </c>
      <c r="D371" s="42" t="s">
        <v>1242</v>
      </c>
      <c r="E371" s="42" t="s">
        <v>1243</v>
      </c>
      <c r="F371" s="280">
        <v>2010</v>
      </c>
      <c r="G371" s="43"/>
      <c r="H371" s="42" t="s">
        <v>202</v>
      </c>
      <c r="I371" s="42" t="s">
        <v>202</v>
      </c>
      <c r="J371" s="43"/>
      <c r="K371" s="43">
        <v>22285</v>
      </c>
      <c r="L371" s="118">
        <v>0.125</v>
      </c>
      <c r="M371" s="119">
        <f t="shared" si="16"/>
        <v>2785.625</v>
      </c>
      <c r="N371" s="269">
        <f t="shared" si="17"/>
        <v>19277.999960835965</v>
      </c>
      <c r="O371" s="270">
        <f t="shared" si="18"/>
        <v>3007.0000391640338</v>
      </c>
      <c r="P371" s="43"/>
      <c r="Q371" s="43"/>
      <c r="R371" s="43"/>
      <c r="S371" s="43"/>
      <c r="T371" s="43"/>
      <c r="U371" s="43"/>
    </row>
    <row r="372" spans="1:21" ht="31.2">
      <c r="A372" s="42" t="s">
        <v>901</v>
      </c>
      <c r="B372" s="42" t="s">
        <v>131</v>
      </c>
      <c r="C372" s="43">
        <v>2021</v>
      </c>
      <c r="D372" s="42" t="s">
        <v>279</v>
      </c>
      <c r="E372" s="42" t="s">
        <v>1243</v>
      </c>
      <c r="F372" s="280">
        <v>2010</v>
      </c>
      <c r="G372" s="43"/>
      <c r="H372" s="42" t="s">
        <v>202</v>
      </c>
      <c r="I372" s="42" t="s">
        <v>202</v>
      </c>
      <c r="J372" s="43"/>
      <c r="K372" s="43">
        <v>34162</v>
      </c>
      <c r="L372" s="118">
        <v>0.125</v>
      </c>
      <c r="M372" s="119">
        <f t="shared" si="16"/>
        <v>4270.25</v>
      </c>
      <c r="N372" s="269">
        <f t="shared" si="17"/>
        <v>29552.39105506297</v>
      </c>
      <c r="O372" s="270">
        <f t="shared" si="18"/>
        <v>4609.6089449370302</v>
      </c>
      <c r="P372" s="43"/>
      <c r="Q372" s="43"/>
      <c r="R372" s="43"/>
      <c r="S372" s="43"/>
      <c r="T372" s="43"/>
      <c r="U372" s="43"/>
    </row>
    <row r="373" spans="1:21" ht="31.2">
      <c r="A373" s="42" t="s">
        <v>901</v>
      </c>
      <c r="B373" s="42" t="s">
        <v>131</v>
      </c>
      <c r="C373" s="43">
        <v>2021</v>
      </c>
      <c r="D373" s="42" t="s">
        <v>283</v>
      </c>
      <c r="E373" s="42" t="s">
        <v>1243</v>
      </c>
      <c r="F373" s="280">
        <v>2010</v>
      </c>
      <c r="G373" s="43"/>
      <c r="H373" s="42" t="s">
        <v>202</v>
      </c>
      <c r="I373" s="42" t="s">
        <v>202</v>
      </c>
      <c r="J373" s="43"/>
      <c r="K373" s="43">
        <v>25778</v>
      </c>
      <c r="L373" s="118">
        <v>0.125</v>
      </c>
      <c r="M373" s="119">
        <f t="shared" si="16"/>
        <v>3222.25</v>
      </c>
      <c r="N373" s="269">
        <f t="shared" si="17"/>
        <v>22299.676149447143</v>
      </c>
      <c r="O373" s="270">
        <f t="shared" si="18"/>
        <v>3478.3238505528589</v>
      </c>
      <c r="P373" s="43"/>
      <c r="Q373" s="43"/>
      <c r="R373" s="43"/>
      <c r="S373" s="43"/>
      <c r="T373" s="43"/>
      <c r="U373" s="43"/>
    </row>
    <row r="374" spans="1:21" ht="31.2">
      <c r="A374" s="42" t="s">
        <v>901</v>
      </c>
      <c r="B374" s="42" t="s">
        <v>131</v>
      </c>
      <c r="C374" s="43">
        <v>2016</v>
      </c>
      <c r="D374" s="42" t="s">
        <v>1244</v>
      </c>
      <c r="E374" s="42" t="s">
        <v>884</v>
      </c>
      <c r="F374" s="280">
        <v>2010</v>
      </c>
      <c r="G374" s="43"/>
      <c r="H374" s="42" t="s">
        <v>202</v>
      </c>
      <c r="I374" s="42" t="s">
        <v>202</v>
      </c>
      <c r="J374" s="43"/>
      <c r="K374" s="43">
        <f t="shared" ref="K374:K379" si="20">125878/8</f>
        <v>15734.75</v>
      </c>
      <c r="L374" s="118">
        <v>0.125</v>
      </c>
      <c r="M374" s="119">
        <f t="shared" si="16"/>
        <v>1966.84375</v>
      </c>
      <c r="N374" s="269">
        <f t="shared" si="17"/>
        <v>13611.600174277035</v>
      </c>
      <c r="O374" s="270">
        <f t="shared" si="18"/>
        <v>2123.149825722965</v>
      </c>
      <c r="P374" s="43"/>
      <c r="Q374" s="43"/>
      <c r="R374" s="43"/>
      <c r="S374" s="43"/>
      <c r="T374" s="43"/>
      <c r="U374" s="43"/>
    </row>
    <row r="375" spans="1:21" ht="31.2">
      <c r="A375" s="42" t="s">
        <v>901</v>
      </c>
      <c r="B375" s="42" t="s">
        <v>131</v>
      </c>
      <c r="C375" s="43">
        <v>2016</v>
      </c>
      <c r="D375" s="42" t="s">
        <v>1245</v>
      </c>
      <c r="E375" s="42" t="s">
        <v>884</v>
      </c>
      <c r="F375" s="280">
        <v>2010</v>
      </c>
      <c r="G375" s="43"/>
      <c r="H375" s="42" t="s">
        <v>202</v>
      </c>
      <c r="I375" s="42" t="s">
        <v>202</v>
      </c>
      <c r="J375" s="43"/>
      <c r="K375" s="43">
        <f t="shared" si="20"/>
        <v>15734.75</v>
      </c>
      <c r="L375" s="118">
        <v>0.125</v>
      </c>
      <c r="M375" s="119">
        <f t="shared" ref="M375:M386" si="21">K375*L375</f>
        <v>1966.84375</v>
      </c>
      <c r="N375" s="269">
        <f t="shared" si="17"/>
        <v>13611.600174277035</v>
      </c>
      <c r="O375" s="270">
        <f t="shared" si="18"/>
        <v>2123.149825722965</v>
      </c>
      <c r="P375" s="43"/>
      <c r="Q375" s="43"/>
      <c r="R375" s="43"/>
      <c r="S375" s="43"/>
      <c r="T375" s="43"/>
      <c r="U375" s="43"/>
    </row>
    <row r="376" spans="1:21" ht="31.2">
      <c r="A376" s="42" t="s">
        <v>901</v>
      </c>
      <c r="B376" s="42" t="s">
        <v>131</v>
      </c>
      <c r="C376" s="43">
        <v>2016</v>
      </c>
      <c r="D376" s="42" t="s">
        <v>1246</v>
      </c>
      <c r="E376" s="42" t="s">
        <v>884</v>
      </c>
      <c r="F376" s="280">
        <v>2010</v>
      </c>
      <c r="G376" s="43"/>
      <c r="H376" s="42" t="s">
        <v>202</v>
      </c>
      <c r="I376" s="42" t="s">
        <v>202</v>
      </c>
      <c r="J376" s="43"/>
      <c r="K376" s="43">
        <f t="shared" si="20"/>
        <v>15734.75</v>
      </c>
      <c r="L376" s="118">
        <v>0.125</v>
      </c>
      <c r="M376" s="119">
        <f t="shared" si="21"/>
        <v>1966.84375</v>
      </c>
      <c r="N376" s="269">
        <f t="shared" si="17"/>
        <v>13611.600174277035</v>
      </c>
      <c r="O376" s="270">
        <f t="shared" si="18"/>
        <v>2123.149825722965</v>
      </c>
      <c r="P376" s="43"/>
      <c r="Q376" s="43"/>
      <c r="R376" s="43"/>
      <c r="S376" s="43"/>
      <c r="T376" s="43"/>
      <c r="U376" s="43"/>
    </row>
    <row r="377" spans="1:21" ht="31.2">
      <c r="A377" s="42" t="s">
        <v>901</v>
      </c>
      <c r="B377" s="42" t="s">
        <v>131</v>
      </c>
      <c r="C377" s="43">
        <v>2016</v>
      </c>
      <c r="D377" s="42" t="s">
        <v>1247</v>
      </c>
      <c r="E377" s="42" t="s">
        <v>884</v>
      </c>
      <c r="F377" s="280">
        <v>2010</v>
      </c>
      <c r="G377" s="43"/>
      <c r="H377" s="42" t="s">
        <v>202</v>
      </c>
      <c r="I377" s="42" t="s">
        <v>202</v>
      </c>
      <c r="J377" s="43"/>
      <c r="K377" s="43">
        <f t="shared" si="20"/>
        <v>15734.75</v>
      </c>
      <c r="L377" s="118">
        <v>0.125</v>
      </c>
      <c r="M377" s="119">
        <f t="shared" si="21"/>
        <v>1966.84375</v>
      </c>
      <c r="N377" s="269">
        <f t="shared" si="17"/>
        <v>13611.600174277035</v>
      </c>
      <c r="O377" s="270">
        <f t="shared" si="18"/>
        <v>2123.149825722965</v>
      </c>
      <c r="P377" s="43"/>
      <c r="Q377" s="43"/>
      <c r="R377" s="43"/>
      <c r="S377" s="43"/>
      <c r="T377" s="43"/>
      <c r="U377" s="43"/>
    </row>
    <row r="378" spans="1:21" ht="31.2">
      <c r="A378" s="42" t="s">
        <v>901</v>
      </c>
      <c r="B378" s="42" t="s">
        <v>131</v>
      </c>
      <c r="C378" s="43">
        <v>2016</v>
      </c>
      <c r="D378" s="42" t="s">
        <v>1248</v>
      </c>
      <c r="E378" s="42" t="s">
        <v>884</v>
      </c>
      <c r="F378" s="280">
        <v>2010</v>
      </c>
      <c r="G378" s="43"/>
      <c r="H378" s="42" t="s">
        <v>202</v>
      </c>
      <c r="I378" s="42" t="s">
        <v>202</v>
      </c>
      <c r="J378" s="43"/>
      <c r="K378" s="43">
        <f t="shared" si="20"/>
        <v>15734.75</v>
      </c>
      <c r="L378" s="118">
        <v>0.125</v>
      </c>
      <c r="M378" s="119">
        <f t="shared" si="21"/>
        <v>1966.84375</v>
      </c>
      <c r="N378" s="269">
        <f t="shared" si="17"/>
        <v>13611.600174277035</v>
      </c>
      <c r="O378" s="270">
        <f t="shared" si="18"/>
        <v>2123.149825722965</v>
      </c>
      <c r="P378" s="43"/>
      <c r="Q378" s="43"/>
      <c r="R378" s="43"/>
      <c r="S378" s="43"/>
      <c r="T378" s="43"/>
      <c r="U378" s="43"/>
    </row>
    <row r="379" spans="1:21" ht="31.2">
      <c r="A379" s="42" t="s">
        <v>901</v>
      </c>
      <c r="B379" s="42" t="s">
        <v>131</v>
      </c>
      <c r="C379" s="43">
        <v>2016</v>
      </c>
      <c r="D379" s="42" t="s">
        <v>1249</v>
      </c>
      <c r="E379" s="42" t="s">
        <v>884</v>
      </c>
      <c r="F379" s="280">
        <v>2010</v>
      </c>
      <c r="G379" s="43"/>
      <c r="H379" s="42" t="s">
        <v>202</v>
      </c>
      <c r="I379" s="42" t="s">
        <v>202</v>
      </c>
      <c r="J379" s="43"/>
      <c r="K379" s="43">
        <f t="shared" si="20"/>
        <v>15734.75</v>
      </c>
      <c r="L379" s="118">
        <v>0.125</v>
      </c>
      <c r="M379" s="119">
        <f t="shared" si="21"/>
        <v>1966.84375</v>
      </c>
      <c r="N379" s="269">
        <f t="shared" si="17"/>
        <v>13611.600174277035</v>
      </c>
      <c r="O379" s="270">
        <f t="shared" si="18"/>
        <v>2123.149825722965</v>
      </c>
      <c r="P379" s="43"/>
      <c r="Q379" s="43"/>
      <c r="R379" s="43"/>
      <c r="S379" s="43"/>
      <c r="T379" s="43"/>
      <c r="U379" s="43"/>
    </row>
    <row r="380" spans="1:21" ht="31.2">
      <c r="A380" s="42" t="s">
        <v>901</v>
      </c>
      <c r="B380" s="42" t="s">
        <v>131</v>
      </c>
      <c r="C380" s="43">
        <v>2016</v>
      </c>
      <c r="D380" s="42" t="s">
        <v>1250</v>
      </c>
      <c r="E380" s="42" t="s">
        <v>1251</v>
      </c>
      <c r="F380" s="280">
        <v>2010</v>
      </c>
      <c r="G380" s="43"/>
      <c r="H380" s="42" t="s">
        <v>202</v>
      </c>
      <c r="I380" s="42" t="s">
        <v>202</v>
      </c>
      <c r="J380" s="43"/>
      <c r="K380" s="43">
        <v>8661</v>
      </c>
      <c r="L380" s="118">
        <v>0.125</v>
      </c>
      <c r="M380" s="119">
        <f t="shared" si="21"/>
        <v>1082.625</v>
      </c>
      <c r="N380" s="269">
        <f t="shared" si="17"/>
        <v>7492.3382392102449</v>
      </c>
      <c r="O380" s="270">
        <f t="shared" si="18"/>
        <v>1168.6617607897551</v>
      </c>
      <c r="P380" s="43"/>
      <c r="Q380" s="43"/>
      <c r="R380" s="43"/>
      <c r="S380" s="43"/>
      <c r="T380" s="43"/>
      <c r="U380" s="43"/>
    </row>
    <row r="381" spans="1:21" ht="31.2">
      <c r="A381" s="42" t="s">
        <v>901</v>
      </c>
      <c r="B381" s="42" t="s">
        <v>131</v>
      </c>
      <c r="C381" s="43">
        <v>2016</v>
      </c>
      <c r="D381" s="42" t="s">
        <v>1252</v>
      </c>
      <c r="E381" s="42" t="s">
        <v>1251</v>
      </c>
      <c r="F381" s="280">
        <v>2010</v>
      </c>
      <c r="G381" s="43"/>
      <c r="H381" s="42" t="s">
        <v>202</v>
      </c>
      <c r="I381" s="42" t="s">
        <v>202</v>
      </c>
      <c r="J381" s="43"/>
      <c r="K381" s="43">
        <v>8661</v>
      </c>
      <c r="L381" s="118">
        <v>0.125</v>
      </c>
      <c r="M381" s="119">
        <f t="shared" si="21"/>
        <v>1082.625</v>
      </c>
      <c r="N381" s="269">
        <f t="shared" si="17"/>
        <v>7492.3382392102449</v>
      </c>
      <c r="O381" s="270">
        <f t="shared" si="18"/>
        <v>1168.6617607897551</v>
      </c>
      <c r="P381" s="43"/>
      <c r="Q381" s="43"/>
      <c r="R381" s="43"/>
      <c r="S381" s="43"/>
      <c r="T381" s="43"/>
      <c r="U381" s="43"/>
    </row>
    <row r="382" spans="1:21" ht="31.2">
      <c r="A382" s="42" t="s">
        <v>901</v>
      </c>
      <c r="B382" s="42" t="s">
        <v>131</v>
      </c>
      <c r="C382" s="43">
        <v>2016</v>
      </c>
      <c r="D382" s="42" t="s">
        <v>1253</v>
      </c>
      <c r="E382" s="42" t="s">
        <v>1251</v>
      </c>
      <c r="F382" s="280">
        <v>2010</v>
      </c>
      <c r="G382" s="43"/>
      <c r="H382" s="42" t="s">
        <v>202</v>
      </c>
      <c r="I382" s="42" t="s">
        <v>202</v>
      </c>
      <c r="J382" s="43"/>
      <c r="K382" s="43">
        <v>8661</v>
      </c>
      <c r="L382" s="118">
        <v>0.125</v>
      </c>
      <c r="M382" s="119">
        <f t="shared" si="21"/>
        <v>1082.625</v>
      </c>
      <c r="N382" s="269">
        <f t="shared" si="17"/>
        <v>7492.3382392102449</v>
      </c>
      <c r="O382" s="270">
        <f t="shared" si="18"/>
        <v>1168.6617607897551</v>
      </c>
      <c r="P382" s="43"/>
      <c r="Q382" s="43"/>
      <c r="R382" s="43"/>
      <c r="S382" s="43"/>
      <c r="T382" s="43"/>
      <c r="U382" s="43"/>
    </row>
    <row r="383" spans="1:21" ht="31.2">
      <c r="A383" s="42" t="s">
        <v>901</v>
      </c>
      <c r="B383" s="42" t="s">
        <v>131</v>
      </c>
      <c r="C383" s="43">
        <v>2016</v>
      </c>
      <c r="D383" s="42" t="s">
        <v>1254</v>
      </c>
      <c r="E383" s="42" t="s">
        <v>1251</v>
      </c>
      <c r="F383" s="280">
        <v>2010</v>
      </c>
      <c r="G383" s="43"/>
      <c r="H383" s="42" t="s">
        <v>202</v>
      </c>
      <c r="I383" s="42" t="s">
        <v>202</v>
      </c>
      <c r="J383" s="43"/>
      <c r="K383" s="43">
        <v>8661</v>
      </c>
      <c r="L383" s="118">
        <v>0.125</v>
      </c>
      <c r="M383" s="119">
        <f t="shared" si="21"/>
        <v>1082.625</v>
      </c>
      <c r="N383" s="269">
        <f t="shared" si="17"/>
        <v>7492.3382392102449</v>
      </c>
      <c r="O383" s="270">
        <f t="shared" si="18"/>
        <v>1168.6617607897551</v>
      </c>
      <c r="P383" s="43"/>
      <c r="Q383" s="43"/>
      <c r="R383" s="43"/>
      <c r="S383" s="43"/>
      <c r="T383" s="43"/>
      <c r="U383" s="43"/>
    </row>
    <row r="384" spans="1:21" ht="31.2">
      <c r="A384" s="42" t="s">
        <v>901</v>
      </c>
      <c r="B384" s="42" t="s">
        <v>131</v>
      </c>
      <c r="C384" s="43">
        <v>2016</v>
      </c>
      <c r="D384" s="42" t="s">
        <v>1255</v>
      </c>
      <c r="E384" s="42" t="s">
        <v>1251</v>
      </c>
      <c r="F384" s="280">
        <v>2010</v>
      </c>
      <c r="G384" s="43"/>
      <c r="H384" s="42" t="s">
        <v>202</v>
      </c>
      <c r="I384" s="42" t="s">
        <v>202</v>
      </c>
      <c r="J384" s="43"/>
      <c r="K384" s="43">
        <v>8661</v>
      </c>
      <c r="L384" s="118">
        <v>0.125</v>
      </c>
      <c r="M384" s="119">
        <f t="shared" si="21"/>
        <v>1082.625</v>
      </c>
      <c r="N384" s="269">
        <f t="shared" si="17"/>
        <v>7492.3382392102449</v>
      </c>
      <c r="O384" s="270">
        <f t="shared" si="18"/>
        <v>1168.6617607897551</v>
      </c>
      <c r="P384" s="43"/>
      <c r="Q384" s="43"/>
      <c r="R384" s="43"/>
      <c r="S384" s="43"/>
      <c r="T384" s="43"/>
      <c r="U384" s="43"/>
    </row>
    <row r="385" spans="1:21" ht="31.2">
      <c r="A385" s="128" t="s">
        <v>1256</v>
      </c>
      <c r="B385" s="43" t="s">
        <v>131</v>
      </c>
      <c r="C385" s="43" t="s">
        <v>218</v>
      </c>
      <c r="D385" s="43" t="s">
        <v>1257</v>
      </c>
      <c r="E385" s="128" t="s">
        <v>1258</v>
      </c>
      <c r="F385" s="280">
        <v>2021</v>
      </c>
      <c r="G385" s="43"/>
      <c r="H385" s="43" t="s">
        <v>137</v>
      </c>
      <c r="I385" s="43" t="s">
        <v>137</v>
      </c>
      <c r="J385" s="43"/>
      <c r="K385" s="127">
        <v>9973000</v>
      </c>
      <c r="L385" s="118">
        <v>0.125</v>
      </c>
      <c r="M385" s="119">
        <f t="shared" si="21"/>
        <v>1246625</v>
      </c>
      <c r="N385" s="269">
        <f t="shared" si="17"/>
        <v>4127010.498046875</v>
      </c>
      <c r="O385" s="270">
        <f t="shared" si="18"/>
        <v>5845989.501953125</v>
      </c>
      <c r="P385" s="43"/>
      <c r="Q385" s="43"/>
      <c r="R385" s="43"/>
      <c r="S385" s="43"/>
      <c r="T385" s="43"/>
      <c r="U385" s="43"/>
    </row>
    <row r="386" spans="1:21" ht="31.2">
      <c r="A386" s="266" t="s">
        <v>790</v>
      </c>
      <c r="B386" s="267" t="s">
        <v>131</v>
      </c>
      <c r="C386" s="267" t="s">
        <v>1835</v>
      </c>
      <c r="D386" s="267" t="s">
        <v>181</v>
      </c>
      <c r="E386" s="266" t="s">
        <v>884</v>
      </c>
      <c r="F386" s="280">
        <v>2025</v>
      </c>
      <c r="G386" s="43"/>
      <c r="H386" s="267" t="s">
        <v>137</v>
      </c>
      <c r="I386" s="267" t="s">
        <v>137</v>
      </c>
      <c r="J386" s="43"/>
      <c r="K386" s="127">
        <v>44615</v>
      </c>
      <c r="L386" s="118">
        <v>0.125</v>
      </c>
      <c r="M386" s="119">
        <f t="shared" si="21"/>
        <v>5576.875</v>
      </c>
      <c r="N386" s="269">
        <f t="shared" si="17"/>
        <v>0</v>
      </c>
      <c r="O386" s="270">
        <f t="shared" si="18"/>
        <v>44615</v>
      </c>
      <c r="P386" s="43"/>
      <c r="Q386" s="43"/>
      <c r="R386" s="43"/>
      <c r="S386" s="43"/>
      <c r="T386" s="43"/>
      <c r="U386" s="43"/>
    </row>
    <row r="387" spans="1:21">
      <c r="A387" s="43"/>
      <c r="B387" s="43"/>
      <c r="C387" s="43"/>
      <c r="D387" s="43"/>
      <c r="E387" s="43"/>
      <c r="F387" s="43"/>
      <c r="G387" s="43"/>
      <c r="H387" s="43"/>
      <c r="I387" s="43"/>
      <c r="J387" s="43"/>
      <c r="K387" s="130">
        <f>SUM(K2:K386)</f>
        <v>20146307</v>
      </c>
      <c r="L387" s="130"/>
      <c r="M387" s="130">
        <f t="shared" ref="M387:O387" si="22">SUM(M2:M386)</f>
        <v>2380872.5975662768</v>
      </c>
      <c r="N387" s="130">
        <f t="shared" si="22"/>
        <v>13136344.507294245</v>
      </c>
      <c r="O387" s="130">
        <f t="shared" si="22"/>
        <v>7009962.4927057615</v>
      </c>
      <c r="P387" s="43"/>
      <c r="Q387" s="43"/>
      <c r="R387" s="43"/>
      <c r="S387" s="43"/>
      <c r="T387" s="43"/>
      <c r="U387" s="43"/>
    </row>
    <row r="388" spans="1:21">
      <c r="A388" s="43"/>
      <c r="B388" s="43"/>
      <c r="C388" s="43"/>
      <c r="D388" s="43"/>
      <c r="E388" s="43"/>
      <c r="F388" s="43"/>
      <c r="G388" s="43"/>
      <c r="H388" s="43"/>
      <c r="I388" s="43"/>
      <c r="J388" s="43"/>
      <c r="K388" s="43"/>
      <c r="L388" s="43"/>
      <c r="M388" s="43"/>
      <c r="N388" s="43"/>
      <c r="O388" s="43"/>
      <c r="P388" s="43"/>
      <c r="Q388" s="43"/>
      <c r="R388" s="43"/>
      <c r="S388" s="43"/>
      <c r="T388" s="43"/>
      <c r="U388" s="43"/>
    </row>
    <row r="389" spans="1:21">
      <c r="A389" s="43"/>
      <c r="B389" s="43"/>
      <c r="C389" s="43"/>
      <c r="D389" s="41"/>
      <c r="E389" s="43"/>
      <c r="F389" s="43"/>
      <c r="G389" s="43"/>
      <c r="H389" s="43"/>
      <c r="I389" s="43"/>
      <c r="J389" s="43"/>
      <c r="K389" s="121"/>
      <c r="L389" s="43"/>
      <c r="M389" s="43"/>
      <c r="N389" s="43"/>
      <c r="O389" s="43"/>
      <c r="P389" s="43"/>
      <c r="Q389" s="43"/>
      <c r="R389" s="43"/>
      <c r="S389" s="43"/>
      <c r="T389" s="43"/>
      <c r="U389" s="43"/>
    </row>
    <row r="390" spans="1:21">
      <c r="A390" s="43"/>
      <c r="B390" s="41"/>
      <c r="C390" s="43"/>
      <c r="D390" s="43"/>
      <c r="E390" s="43"/>
      <c r="F390" s="43"/>
      <c r="G390" s="43"/>
      <c r="H390" s="43"/>
      <c r="I390" s="43"/>
      <c r="J390" s="43"/>
      <c r="K390" s="43"/>
      <c r="L390" s="43"/>
      <c r="M390" s="43"/>
      <c r="N390" s="43"/>
      <c r="O390" s="43"/>
      <c r="P390" s="43"/>
      <c r="Q390" s="43"/>
      <c r="R390" s="43"/>
      <c r="S390" s="43"/>
      <c r="T390" s="43"/>
      <c r="U390" s="43"/>
    </row>
    <row r="391" spans="1:21">
      <c r="A391" s="43"/>
      <c r="B391" s="41"/>
      <c r="C391" s="43"/>
      <c r="D391" s="43"/>
      <c r="E391" s="43"/>
      <c r="F391" s="43"/>
      <c r="G391" s="43"/>
      <c r="H391" s="43"/>
      <c r="I391" s="43"/>
      <c r="J391" s="43"/>
      <c r="K391" s="43"/>
      <c r="L391" s="43"/>
      <c r="M391" s="43"/>
      <c r="N391" s="43"/>
      <c r="O391" s="43"/>
      <c r="P391" s="43"/>
      <c r="Q391" s="43"/>
      <c r="R391" s="43"/>
      <c r="S391" s="43"/>
      <c r="T391" s="43"/>
      <c r="U391" s="43"/>
    </row>
    <row r="393" spans="1:21">
      <c r="C393" s="129"/>
    </row>
    <row r="394" spans="1:21" s="311" customFormat="1" ht="18">
      <c r="A394" s="310" t="s">
        <v>1837</v>
      </c>
      <c r="E394" s="310"/>
      <c r="L394" s="312"/>
    </row>
    <row r="395" spans="1:21" s="311" customFormat="1" ht="18">
      <c r="A395" s="310" t="s">
        <v>1838</v>
      </c>
      <c r="C395" s="310"/>
    </row>
    <row r="396" spans="1:21" s="311" customFormat="1" ht="18">
      <c r="A396" s="310" t="s">
        <v>1839</v>
      </c>
      <c r="C396" s="310"/>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6"/>
  <sheetViews>
    <sheetView workbookViewId="0">
      <selection activeCell="F17" sqref="F17"/>
    </sheetView>
  </sheetViews>
  <sheetFormatPr defaultColWidth="9" defaultRowHeight="15.6"/>
  <cols>
    <col min="1" max="16384" width="9" style="1"/>
  </cols>
  <sheetData>
    <row r="1" spans="1:27">
      <c r="A1" s="105" t="s">
        <v>1259</v>
      </c>
    </row>
    <row r="2" spans="1:27" ht="78">
      <c r="A2" s="106"/>
      <c r="B2" s="107" t="s">
        <v>175</v>
      </c>
      <c r="C2" s="107" t="s">
        <v>111</v>
      </c>
      <c r="D2" s="107" t="s">
        <v>176</v>
      </c>
      <c r="E2" s="107" t="s">
        <v>177</v>
      </c>
      <c r="F2" s="107" t="s">
        <v>115</v>
      </c>
      <c r="G2" s="107" t="s">
        <v>178</v>
      </c>
      <c r="H2" s="107" t="s">
        <v>117</v>
      </c>
      <c r="I2" s="107" t="s">
        <v>118</v>
      </c>
      <c r="J2" s="107" t="s">
        <v>119</v>
      </c>
      <c r="K2" s="107" t="s">
        <v>120</v>
      </c>
      <c r="L2" s="107" t="s">
        <v>179</v>
      </c>
      <c r="M2" s="107" t="s">
        <v>122</v>
      </c>
      <c r="N2" s="107" t="s">
        <v>105</v>
      </c>
      <c r="O2" s="107" t="s">
        <v>123</v>
      </c>
      <c r="P2" s="107" t="s">
        <v>124</v>
      </c>
      <c r="Q2" s="107" t="s">
        <v>125</v>
      </c>
      <c r="R2" s="107" t="s">
        <v>77</v>
      </c>
      <c r="S2" s="107" t="s">
        <v>126</v>
      </c>
      <c r="T2" s="107" t="s">
        <v>127</v>
      </c>
      <c r="U2" s="107" t="s">
        <v>129</v>
      </c>
    </row>
    <row r="3" spans="1:27">
      <c r="A3" s="113">
        <v>1</v>
      </c>
      <c r="B3" s="114" t="s">
        <v>84</v>
      </c>
      <c r="C3" s="114" t="s">
        <v>84</v>
      </c>
      <c r="D3" s="114" t="s">
        <v>84</v>
      </c>
      <c r="E3" s="114" t="s">
        <v>84</v>
      </c>
      <c r="F3" s="114" t="s">
        <v>84</v>
      </c>
      <c r="G3" s="114" t="s">
        <v>84</v>
      </c>
      <c r="H3" s="114" t="s">
        <v>84</v>
      </c>
      <c r="I3" s="114" t="s">
        <v>84</v>
      </c>
      <c r="J3" s="114" t="s">
        <v>84</v>
      </c>
      <c r="K3" s="114" t="s">
        <v>84</v>
      </c>
      <c r="L3" s="114" t="s">
        <v>84</v>
      </c>
      <c r="M3" s="114" t="s">
        <v>84</v>
      </c>
      <c r="N3" s="114" t="s">
        <v>84</v>
      </c>
      <c r="O3" s="114" t="s">
        <v>84</v>
      </c>
      <c r="P3" s="114" t="s">
        <v>84</v>
      </c>
      <c r="Q3" s="114" t="s">
        <v>84</v>
      </c>
      <c r="R3" s="114" t="s">
        <v>84</v>
      </c>
      <c r="S3" s="114" t="s">
        <v>84</v>
      </c>
      <c r="T3" s="114" t="s">
        <v>84</v>
      </c>
      <c r="U3" s="114" t="s">
        <v>84</v>
      </c>
      <c r="V3" s="114" t="s">
        <v>84</v>
      </c>
      <c r="W3" s="114" t="s">
        <v>84</v>
      </c>
      <c r="X3" s="114" t="s">
        <v>84</v>
      </c>
      <c r="Y3" s="114" t="s">
        <v>84</v>
      </c>
      <c r="Z3" s="114" t="s">
        <v>84</v>
      </c>
      <c r="AA3" s="114"/>
    </row>
    <row r="4" spans="1:27">
      <c r="A4" s="110">
        <v>2</v>
      </c>
      <c r="B4" s="111"/>
      <c r="C4" s="111"/>
      <c r="D4" s="111"/>
      <c r="E4" s="111"/>
      <c r="F4" s="111"/>
      <c r="G4" s="111"/>
      <c r="H4" s="111"/>
      <c r="I4" s="111"/>
      <c r="J4" s="111"/>
      <c r="K4" s="111"/>
      <c r="L4" s="111"/>
      <c r="M4" s="111"/>
      <c r="N4" s="111"/>
      <c r="O4" s="111"/>
      <c r="P4" s="111"/>
      <c r="Q4" s="111"/>
      <c r="R4" s="111"/>
      <c r="S4" s="111"/>
      <c r="T4" s="111"/>
      <c r="U4" s="111"/>
    </row>
    <row r="5" spans="1:27">
      <c r="A5" s="110">
        <v>3</v>
      </c>
      <c r="B5" s="111"/>
      <c r="C5" s="111"/>
      <c r="D5" s="111"/>
      <c r="E5" s="111"/>
      <c r="F5" s="111"/>
      <c r="G5" s="111"/>
      <c r="H5" s="111"/>
      <c r="I5" s="111"/>
      <c r="J5" s="111"/>
      <c r="K5" s="111"/>
      <c r="L5" s="111"/>
      <c r="M5" s="111"/>
      <c r="N5" s="111"/>
      <c r="O5" s="111"/>
      <c r="P5" s="111"/>
      <c r="Q5" s="111"/>
      <c r="R5" s="111"/>
      <c r="S5" s="111"/>
      <c r="T5" s="111"/>
      <c r="U5" s="111"/>
    </row>
    <row r="6" spans="1:27">
      <c r="A6" s="110">
        <v>4</v>
      </c>
      <c r="B6" s="111"/>
      <c r="C6" s="111"/>
      <c r="D6" s="111"/>
      <c r="E6" s="111"/>
      <c r="F6" s="111"/>
      <c r="G6" s="111"/>
      <c r="H6" s="111"/>
      <c r="I6" s="111"/>
      <c r="J6" s="111"/>
      <c r="K6" s="111"/>
      <c r="L6" s="111"/>
      <c r="M6" s="111"/>
      <c r="N6" s="111"/>
      <c r="O6" s="111"/>
      <c r="P6" s="111"/>
      <c r="Q6" s="111"/>
      <c r="R6" s="111"/>
      <c r="S6" s="111"/>
      <c r="T6" s="111"/>
      <c r="U6" s="111"/>
    </row>
    <row r="7" spans="1:27">
      <c r="A7" s="110">
        <v>5</v>
      </c>
      <c r="B7" s="111"/>
      <c r="C7" s="111"/>
      <c r="D7" s="111"/>
      <c r="E7" s="111"/>
      <c r="F7" s="111"/>
      <c r="G7" s="111"/>
      <c r="H7" s="111"/>
      <c r="I7" s="111"/>
      <c r="J7" s="111"/>
      <c r="K7" s="111"/>
      <c r="L7" s="111"/>
      <c r="M7" s="111"/>
      <c r="N7" s="111"/>
      <c r="O7" s="111"/>
      <c r="P7" s="111"/>
      <c r="Q7" s="111"/>
      <c r="R7" s="111"/>
      <c r="S7" s="111"/>
      <c r="T7" s="111"/>
      <c r="U7" s="111"/>
    </row>
    <row r="8" spans="1:27">
      <c r="A8" s="110">
        <v>6</v>
      </c>
      <c r="B8" s="111"/>
      <c r="C8" s="111"/>
      <c r="D8" s="111"/>
      <c r="E8" s="111"/>
      <c r="F8" s="111"/>
      <c r="G8" s="111"/>
      <c r="H8" s="111"/>
      <c r="I8" s="111"/>
      <c r="J8" s="111"/>
      <c r="K8" s="111"/>
      <c r="L8" s="111"/>
      <c r="M8" s="111"/>
      <c r="N8" s="111"/>
      <c r="O8" s="111"/>
      <c r="P8" s="111"/>
      <c r="Q8" s="111"/>
      <c r="R8" s="111"/>
      <c r="S8" s="111"/>
      <c r="T8" s="111"/>
      <c r="U8" s="111"/>
    </row>
    <row r="9" spans="1:27">
      <c r="A9" s="110">
        <v>7</v>
      </c>
      <c r="B9" s="111"/>
      <c r="C9" s="111"/>
      <c r="D9" s="111"/>
      <c r="E9" s="111"/>
      <c r="F9" s="111"/>
      <c r="G9" s="111"/>
      <c r="H9" s="111"/>
      <c r="I9" s="111"/>
      <c r="J9" s="111"/>
      <c r="K9" s="111"/>
      <c r="L9" s="111"/>
      <c r="M9" s="111"/>
      <c r="N9" s="111"/>
      <c r="O9" s="111"/>
      <c r="P9" s="111"/>
      <c r="Q9" s="111"/>
      <c r="R9" s="111"/>
      <c r="S9" s="111"/>
      <c r="T9" s="111"/>
      <c r="U9" s="111"/>
    </row>
    <row r="10" spans="1:27">
      <c r="A10" s="110">
        <v>8</v>
      </c>
      <c r="B10" s="111"/>
      <c r="C10" s="111"/>
      <c r="D10" s="111"/>
      <c r="E10" s="111"/>
      <c r="F10" s="111"/>
      <c r="G10" s="111"/>
      <c r="H10" s="111"/>
      <c r="I10" s="111"/>
      <c r="J10" s="111"/>
      <c r="K10" s="111"/>
      <c r="L10" s="111"/>
      <c r="M10" s="111"/>
      <c r="N10" s="111"/>
      <c r="O10" s="111"/>
      <c r="P10" s="111"/>
      <c r="Q10" s="111"/>
      <c r="R10" s="111"/>
      <c r="S10" s="111"/>
      <c r="T10" s="111"/>
      <c r="U10" s="111"/>
    </row>
    <row r="11" spans="1:27">
      <c r="A11" s="110">
        <v>9</v>
      </c>
      <c r="B11" s="111"/>
      <c r="C11" s="111"/>
      <c r="D11" s="111"/>
      <c r="E11" s="111"/>
      <c r="F11" s="111"/>
      <c r="G11" s="111"/>
      <c r="H11" s="111"/>
      <c r="I11" s="111"/>
      <c r="J11" s="111"/>
      <c r="K11" s="111"/>
      <c r="L11" s="111"/>
      <c r="M11" s="111"/>
      <c r="N11" s="111"/>
      <c r="O11" s="111"/>
      <c r="P11" s="111"/>
      <c r="Q11" s="111"/>
      <c r="R11" s="111"/>
      <c r="S11" s="111"/>
      <c r="T11" s="111"/>
      <c r="U11" s="111"/>
    </row>
    <row r="12" spans="1:27">
      <c r="A12" s="115"/>
    </row>
    <row r="13" spans="1:27">
      <c r="A13" s="115"/>
    </row>
    <row r="14" spans="1:27" s="311" customFormat="1" ht="18">
      <c r="A14" s="310" t="s">
        <v>1837</v>
      </c>
      <c r="E14" s="310"/>
      <c r="L14" s="312"/>
    </row>
    <row r="15" spans="1:27" s="311" customFormat="1" ht="18">
      <c r="A15" s="310" t="s">
        <v>1838</v>
      </c>
      <c r="C15" s="310"/>
    </row>
    <row r="16" spans="1:27" s="311" customFormat="1" ht="18">
      <c r="A16" s="310" t="s">
        <v>1839</v>
      </c>
      <c r="C16" s="3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7"/>
  <sheetViews>
    <sheetView topLeftCell="A2" workbookViewId="0">
      <selection activeCell="E18" sqref="E18"/>
    </sheetView>
  </sheetViews>
  <sheetFormatPr defaultColWidth="9" defaultRowHeight="14.4"/>
  <sheetData>
    <row r="1" spans="1:26" ht="15.6">
      <c r="A1" s="105" t="s">
        <v>1260</v>
      </c>
      <c r="B1" s="1"/>
      <c r="C1" s="1"/>
      <c r="D1" s="1"/>
      <c r="E1" s="1"/>
      <c r="F1" s="1"/>
      <c r="G1" s="1"/>
      <c r="H1" s="1"/>
      <c r="I1" s="1"/>
      <c r="J1" s="1"/>
      <c r="K1" s="1"/>
      <c r="L1" s="1"/>
      <c r="M1" s="1"/>
      <c r="N1" s="1"/>
      <c r="O1" s="1"/>
      <c r="P1" s="1"/>
      <c r="Q1" s="1"/>
      <c r="R1" s="1"/>
      <c r="S1" s="1"/>
      <c r="T1" s="1"/>
      <c r="U1" s="1"/>
      <c r="V1" s="1"/>
      <c r="W1" s="1"/>
      <c r="X1" s="1"/>
      <c r="Y1" s="1"/>
      <c r="Z1" s="1"/>
    </row>
    <row r="2" spans="1:26" ht="78">
      <c r="A2" s="106"/>
      <c r="B2" s="107" t="s">
        <v>175</v>
      </c>
      <c r="C2" s="107" t="s">
        <v>111</v>
      </c>
      <c r="D2" s="107" t="s">
        <v>176</v>
      </c>
      <c r="E2" s="107" t="s">
        <v>177</v>
      </c>
      <c r="F2" s="107" t="s">
        <v>115</v>
      </c>
      <c r="G2" s="107" t="s">
        <v>178</v>
      </c>
      <c r="H2" s="107" t="s">
        <v>117</v>
      </c>
      <c r="I2" s="107" t="s">
        <v>118</v>
      </c>
      <c r="J2" s="107" t="s">
        <v>119</v>
      </c>
      <c r="K2" s="107" t="s">
        <v>120</v>
      </c>
      <c r="L2" s="107" t="s">
        <v>179</v>
      </c>
      <c r="M2" s="107" t="s">
        <v>122</v>
      </c>
      <c r="N2" s="107" t="s">
        <v>105</v>
      </c>
      <c r="O2" s="107" t="s">
        <v>123</v>
      </c>
      <c r="P2" s="107" t="s">
        <v>124</v>
      </c>
      <c r="Q2" s="107" t="s">
        <v>125</v>
      </c>
      <c r="R2" s="107" t="s">
        <v>77</v>
      </c>
      <c r="S2" s="107" t="s">
        <v>126</v>
      </c>
      <c r="T2" s="107" t="s">
        <v>127</v>
      </c>
      <c r="U2" s="107" t="s">
        <v>129</v>
      </c>
      <c r="V2" s="1"/>
      <c r="W2" s="1"/>
      <c r="X2" s="1"/>
      <c r="Y2" s="1"/>
      <c r="Z2" s="1"/>
    </row>
    <row r="3" spans="1:26" s="104" customFormat="1" ht="15.6">
      <c r="A3" s="108">
        <v>1</v>
      </c>
      <c r="B3" s="109" t="s">
        <v>84</v>
      </c>
      <c r="C3" s="109" t="s">
        <v>84</v>
      </c>
      <c r="D3" s="109" t="s">
        <v>84</v>
      </c>
      <c r="E3" s="109" t="s">
        <v>84</v>
      </c>
      <c r="F3" s="109" t="s">
        <v>84</v>
      </c>
      <c r="G3" s="109" t="s">
        <v>84</v>
      </c>
      <c r="H3" s="109" t="s">
        <v>84</v>
      </c>
      <c r="I3" s="109" t="s">
        <v>84</v>
      </c>
      <c r="J3" s="109" t="s">
        <v>84</v>
      </c>
      <c r="K3" s="109" t="s">
        <v>84</v>
      </c>
      <c r="L3" s="109" t="s">
        <v>84</v>
      </c>
      <c r="M3" s="109" t="s">
        <v>84</v>
      </c>
      <c r="N3" s="109" t="s">
        <v>84</v>
      </c>
      <c r="O3" s="109" t="s">
        <v>84</v>
      </c>
      <c r="P3" s="109" t="s">
        <v>84</v>
      </c>
      <c r="Q3" s="109" t="s">
        <v>84</v>
      </c>
      <c r="R3" s="109" t="s">
        <v>84</v>
      </c>
      <c r="S3" s="109" t="s">
        <v>84</v>
      </c>
      <c r="T3" s="109" t="s">
        <v>84</v>
      </c>
      <c r="U3" s="109" t="s">
        <v>84</v>
      </c>
      <c r="V3" s="1" t="s">
        <v>84</v>
      </c>
      <c r="W3" s="1" t="s">
        <v>84</v>
      </c>
      <c r="X3" s="1" t="s">
        <v>84</v>
      </c>
      <c r="Y3" s="1" t="s">
        <v>84</v>
      </c>
      <c r="Z3" s="1" t="s">
        <v>84</v>
      </c>
    </row>
    <row r="4" spans="1:26" ht="15.6">
      <c r="A4" s="110">
        <v>2</v>
      </c>
      <c r="B4" s="111"/>
      <c r="C4" s="111"/>
      <c r="D4" s="111"/>
      <c r="E4" s="111"/>
      <c r="F4" s="111"/>
      <c r="G4" s="111"/>
      <c r="H4" s="111"/>
      <c r="I4" s="111"/>
      <c r="J4" s="111"/>
      <c r="K4" s="111"/>
      <c r="L4" s="111"/>
      <c r="M4" s="111"/>
      <c r="N4" s="111"/>
      <c r="O4" s="111"/>
      <c r="P4" s="111"/>
      <c r="Q4" s="111"/>
      <c r="R4" s="111"/>
      <c r="S4" s="111"/>
      <c r="T4" s="111"/>
      <c r="U4" s="111"/>
      <c r="V4" s="1"/>
      <c r="W4" s="1"/>
      <c r="X4" s="1"/>
      <c r="Y4" s="1"/>
      <c r="Z4" s="1"/>
    </row>
    <row r="5" spans="1:26" ht="15.6">
      <c r="A5" s="110">
        <v>3</v>
      </c>
      <c r="B5" s="111"/>
      <c r="C5" s="111"/>
      <c r="D5" s="111"/>
      <c r="E5" s="111"/>
      <c r="F5" s="111"/>
      <c r="G5" s="111"/>
      <c r="H5" s="111"/>
      <c r="I5" s="111"/>
      <c r="J5" s="111"/>
      <c r="K5" s="111"/>
      <c r="L5" s="111"/>
      <c r="M5" s="111"/>
      <c r="N5" s="111"/>
      <c r="O5" s="111"/>
      <c r="P5" s="111"/>
      <c r="Q5" s="111"/>
      <c r="R5" s="111"/>
      <c r="S5" s="111"/>
      <c r="T5" s="111"/>
      <c r="U5" s="111"/>
      <c r="V5" s="1"/>
      <c r="W5" s="1"/>
      <c r="X5" s="1"/>
      <c r="Y5" s="1"/>
      <c r="Z5" s="1"/>
    </row>
    <row r="6" spans="1:26" ht="15.6">
      <c r="A6" s="110">
        <v>4</v>
      </c>
      <c r="B6" s="111"/>
      <c r="C6" s="111"/>
      <c r="D6" s="111"/>
      <c r="E6" s="111"/>
      <c r="F6" s="111"/>
      <c r="G6" s="111"/>
      <c r="H6" s="111"/>
      <c r="I6" s="111"/>
      <c r="J6" s="111"/>
      <c r="K6" s="111"/>
      <c r="L6" s="111"/>
      <c r="M6" s="111"/>
      <c r="N6" s="111"/>
      <c r="O6" s="111"/>
      <c r="P6" s="111"/>
      <c r="Q6" s="111"/>
      <c r="R6" s="111"/>
      <c r="S6" s="111"/>
      <c r="T6" s="111"/>
      <c r="U6" s="111"/>
      <c r="V6" s="1"/>
      <c r="W6" s="1"/>
      <c r="X6" s="1"/>
      <c r="Y6" s="1"/>
      <c r="Z6" s="1"/>
    </row>
    <row r="7" spans="1:26" ht="15.6">
      <c r="A7" s="110">
        <v>5</v>
      </c>
      <c r="B7" s="111"/>
      <c r="C7" s="111"/>
      <c r="D7" s="111"/>
      <c r="E7" s="111"/>
      <c r="F7" s="111"/>
      <c r="G7" s="111"/>
      <c r="H7" s="111"/>
      <c r="I7" s="111"/>
      <c r="J7" s="111"/>
      <c r="K7" s="111"/>
      <c r="L7" s="111"/>
      <c r="M7" s="111"/>
      <c r="N7" s="111"/>
      <c r="O7" s="111"/>
      <c r="P7" s="111"/>
      <c r="Q7" s="111"/>
      <c r="R7" s="111"/>
      <c r="S7" s="111"/>
      <c r="T7" s="111"/>
      <c r="U7" s="111"/>
      <c r="V7" s="1"/>
      <c r="W7" s="1"/>
      <c r="X7" s="1"/>
      <c r="Y7" s="1"/>
      <c r="Z7" s="1"/>
    </row>
    <row r="8" spans="1:26" ht="15.6">
      <c r="A8" s="110">
        <v>6</v>
      </c>
      <c r="B8" s="111"/>
      <c r="C8" s="111"/>
      <c r="D8" s="111"/>
      <c r="E8" s="111"/>
      <c r="F8" s="111"/>
      <c r="G8" s="111"/>
      <c r="H8" s="111"/>
      <c r="I8" s="111"/>
      <c r="J8" s="111"/>
      <c r="K8" s="111"/>
      <c r="L8" s="111"/>
      <c r="M8" s="111"/>
      <c r="N8" s="111"/>
      <c r="O8" s="111"/>
      <c r="P8" s="111"/>
      <c r="Q8" s="111"/>
      <c r="R8" s="111"/>
      <c r="S8" s="111"/>
      <c r="T8" s="111"/>
      <c r="U8" s="111"/>
      <c r="V8" s="1"/>
      <c r="W8" s="1"/>
      <c r="X8" s="1"/>
      <c r="Y8" s="1"/>
      <c r="Z8" s="1"/>
    </row>
    <row r="9" spans="1:26" ht="15.6">
      <c r="A9" s="110">
        <v>7</v>
      </c>
      <c r="B9" s="111"/>
      <c r="C9" s="111"/>
      <c r="D9" s="111"/>
      <c r="E9" s="111"/>
      <c r="F9" s="111"/>
      <c r="G9" s="111"/>
      <c r="H9" s="111"/>
      <c r="I9" s="111"/>
      <c r="J9" s="111"/>
      <c r="K9" s="111"/>
      <c r="L9" s="111"/>
      <c r="M9" s="111"/>
      <c r="N9" s="111"/>
      <c r="O9" s="111"/>
      <c r="P9" s="111"/>
      <c r="Q9" s="111"/>
      <c r="R9" s="111"/>
      <c r="S9" s="111"/>
      <c r="T9" s="111"/>
      <c r="U9" s="111"/>
      <c r="V9" s="1"/>
      <c r="W9" s="1"/>
      <c r="X9" s="1"/>
      <c r="Y9" s="1"/>
      <c r="Z9" s="1"/>
    </row>
    <row r="10" spans="1:26" ht="15.6">
      <c r="A10" s="110">
        <v>8</v>
      </c>
      <c r="B10" s="111"/>
      <c r="C10" s="111"/>
      <c r="D10" s="111"/>
      <c r="E10" s="111"/>
      <c r="F10" s="111"/>
      <c r="G10" s="111"/>
      <c r="H10" s="111"/>
      <c r="I10" s="111"/>
      <c r="J10" s="111"/>
      <c r="K10" s="111"/>
      <c r="L10" s="111"/>
      <c r="M10" s="111"/>
      <c r="N10" s="111"/>
      <c r="O10" s="111"/>
      <c r="P10" s="111"/>
      <c r="Q10" s="111"/>
      <c r="R10" s="111"/>
      <c r="S10" s="111"/>
      <c r="T10" s="111"/>
      <c r="U10" s="111"/>
      <c r="V10" s="1"/>
      <c r="W10" s="1"/>
      <c r="X10" s="1"/>
      <c r="Y10" s="1"/>
      <c r="Z10" s="1"/>
    </row>
    <row r="11" spans="1:26" ht="15.6">
      <c r="A11" s="110">
        <v>9</v>
      </c>
      <c r="B11" s="111"/>
      <c r="C11" s="111"/>
      <c r="D11" s="111"/>
      <c r="E11" s="111"/>
      <c r="F11" s="111"/>
      <c r="G11" s="111"/>
      <c r="H11" s="111"/>
      <c r="I11" s="111"/>
      <c r="J11" s="111"/>
      <c r="K11" s="111"/>
      <c r="L11" s="111"/>
      <c r="M11" s="111"/>
      <c r="N11" s="111"/>
      <c r="O11" s="111"/>
      <c r="P11" s="111"/>
      <c r="Q11" s="111"/>
      <c r="R11" s="111"/>
      <c r="S11" s="111"/>
      <c r="T11" s="111"/>
      <c r="U11" s="111"/>
      <c r="V11" s="1"/>
      <c r="W11" s="1"/>
      <c r="X11" s="1"/>
      <c r="Y11" s="1"/>
      <c r="Z11" s="1"/>
    </row>
    <row r="12" spans="1:26">
      <c r="A12" s="112"/>
    </row>
    <row r="13" spans="1:26" ht="21" customHeight="1">
      <c r="A13" s="112"/>
    </row>
    <row r="14" spans="1:26" s="311" customFormat="1" ht="18">
      <c r="A14" s="310" t="s">
        <v>1837</v>
      </c>
      <c r="E14" s="310"/>
      <c r="L14" s="312"/>
    </row>
    <row r="15" spans="1:26" s="311" customFormat="1" ht="18">
      <c r="A15" s="310" t="s">
        <v>1838</v>
      </c>
      <c r="C15" s="310"/>
    </row>
    <row r="16" spans="1:26" s="311" customFormat="1" ht="18">
      <c r="A16" s="310" t="s">
        <v>1839</v>
      </c>
      <c r="C16" s="310"/>
    </row>
    <row r="17" spans="1:13" ht="15.6">
      <c r="A17" s="39"/>
      <c r="B17" s="39"/>
      <c r="C17" s="39"/>
      <c r="D17" s="39"/>
      <c r="E17" s="39"/>
      <c r="F17" s="39"/>
      <c r="G17" s="39"/>
      <c r="H17" s="39"/>
      <c r="I17" s="39"/>
      <c r="J17" s="39"/>
      <c r="K17" s="39"/>
      <c r="L17" s="39"/>
      <c r="M17" s="3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7"/>
  <sheetViews>
    <sheetView workbookViewId="0">
      <selection activeCell="B19" sqref="B19"/>
    </sheetView>
  </sheetViews>
  <sheetFormatPr defaultColWidth="9" defaultRowHeight="14.4"/>
  <cols>
    <col min="1" max="1" width="12.88671875" customWidth="1"/>
    <col min="2" max="2" width="50.6640625" customWidth="1"/>
    <col min="3" max="3" width="48.109375" customWidth="1"/>
    <col min="4" max="4" width="54.44140625" customWidth="1"/>
    <col min="5" max="5" width="42.109375" customWidth="1"/>
    <col min="6" max="6" width="44.5546875" customWidth="1"/>
    <col min="7" max="7" width="28.6640625" customWidth="1"/>
    <col min="8" max="8" width="30.109375" customWidth="1"/>
    <col min="9" max="9" width="34.5546875" customWidth="1"/>
    <col min="10" max="10" width="43.44140625" customWidth="1"/>
  </cols>
  <sheetData>
    <row r="1" spans="1:10" ht="15.6">
      <c r="A1" s="94" t="s">
        <v>1261</v>
      </c>
      <c r="B1" s="1"/>
      <c r="C1" s="1"/>
      <c r="D1" s="1"/>
      <c r="E1" s="1"/>
      <c r="F1" s="1"/>
      <c r="G1" s="1"/>
      <c r="H1" s="1"/>
      <c r="I1" s="1"/>
      <c r="J1" s="1"/>
    </row>
    <row r="2" spans="1:10" ht="31.2">
      <c r="A2" s="95"/>
      <c r="B2" s="96" t="s">
        <v>1262</v>
      </c>
      <c r="C2" s="96" t="s">
        <v>1263</v>
      </c>
      <c r="D2" s="96" t="s">
        <v>1264</v>
      </c>
      <c r="E2" s="96" t="s">
        <v>1265</v>
      </c>
      <c r="F2" s="96" t="s">
        <v>1266</v>
      </c>
      <c r="G2" s="96" t="s">
        <v>1267</v>
      </c>
      <c r="H2" s="96" t="s">
        <v>1268</v>
      </c>
      <c r="I2" s="96" t="s">
        <v>107</v>
      </c>
      <c r="J2" s="96" t="s">
        <v>79</v>
      </c>
    </row>
    <row r="3" spans="1:10" ht="15.6">
      <c r="A3" s="97">
        <v>1</v>
      </c>
      <c r="B3" s="98" t="s">
        <v>1269</v>
      </c>
      <c r="C3" s="98" t="s">
        <v>1270</v>
      </c>
      <c r="D3" s="98" t="s">
        <v>1271</v>
      </c>
      <c r="E3" s="99">
        <v>268534.2</v>
      </c>
      <c r="F3" s="98" t="s">
        <v>1272</v>
      </c>
      <c r="G3" s="98" t="s">
        <v>181</v>
      </c>
      <c r="H3" s="98" t="s">
        <v>181</v>
      </c>
      <c r="I3" s="99">
        <v>100317.04</v>
      </c>
      <c r="J3" s="98"/>
    </row>
    <row r="4" spans="1:10" ht="15.6">
      <c r="A4" s="97">
        <v>2</v>
      </c>
      <c r="B4" s="98" t="s">
        <v>1273</v>
      </c>
      <c r="C4" s="98" t="s">
        <v>1274</v>
      </c>
      <c r="D4" s="98" t="s">
        <v>1275</v>
      </c>
      <c r="E4" s="99">
        <v>1265432.3999999999</v>
      </c>
      <c r="F4" s="98" t="s">
        <v>1272</v>
      </c>
      <c r="G4" s="98" t="s">
        <v>181</v>
      </c>
      <c r="H4" s="98" t="s">
        <v>181</v>
      </c>
      <c r="I4" s="99">
        <v>822960</v>
      </c>
      <c r="J4" s="98"/>
    </row>
    <row r="5" spans="1:10" ht="15.6">
      <c r="A5" s="97">
        <v>3</v>
      </c>
      <c r="B5" s="98" t="s">
        <v>1276</v>
      </c>
      <c r="C5" s="98" t="s">
        <v>1274</v>
      </c>
      <c r="D5" s="98" t="s">
        <v>1277</v>
      </c>
      <c r="E5" s="99">
        <v>2095586.4</v>
      </c>
      <c r="F5" s="98" t="s">
        <v>1272</v>
      </c>
      <c r="G5" s="98" t="s">
        <v>181</v>
      </c>
      <c r="H5" s="98" t="s">
        <v>181</v>
      </c>
      <c r="I5" s="99">
        <v>1932096</v>
      </c>
      <c r="J5" s="98"/>
    </row>
    <row r="6" spans="1:10" ht="15.6">
      <c r="A6" s="97">
        <v>4</v>
      </c>
      <c r="B6" s="98"/>
      <c r="C6" s="98"/>
      <c r="D6" s="1"/>
      <c r="E6" s="98"/>
      <c r="F6" s="98"/>
      <c r="G6" s="98"/>
      <c r="H6" s="98"/>
      <c r="I6" s="103">
        <f>SUM(I3:I5)</f>
        <v>2855373.04</v>
      </c>
      <c r="J6" s="98"/>
    </row>
    <row r="7" spans="1:10" ht="15.6">
      <c r="A7" s="97">
        <v>5</v>
      </c>
      <c r="B7" s="100" t="s">
        <v>1278</v>
      </c>
      <c r="C7" s="98"/>
      <c r="D7" s="98"/>
      <c r="E7" s="1"/>
      <c r="F7" s="98"/>
      <c r="G7" s="98"/>
      <c r="H7" s="98"/>
      <c r="I7" s="98"/>
      <c r="J7" s="98"/>
    </row>
    <row r="8" spans="1:10" ht="15.6">
      <c r="A8" s="97">
        <v>6</v>
      </c>
      <c r="B8" s="98"/>
      <c r="C8" s="98"/>
      <c r="D8" s="98"/>
      <c r="E8" s="98"/>
      <c r="F8" s="98"/>
      <c r="G8" s="98"/>
      <c r="H8" s="98"/>
      <c r="I8" s="98"/>
      <c r="J8" s="98"/>
    </row>
    <row r="9" spans="1:10" ht="15.6">
      <c r="A9" s="97">
        <v>7</v>
      </c>
      <c r="B9" s="98"/>
      <c r="C9" s="98"/>
      <c r="D9" s="98"/>
      <c r="E9" s="98"/>
      <c r="F9" s="98"/>
      <c r="G9" s="98"/>
      <c r="H9" s="98"/>
      <c r="I9" s="98"/>
      <c r="J9" s="98"/>
    </row>
    <row r="10" spans="1:10" ht="15.6">
      <c r="A10" s="97">
        <v>8</v>
      </c>
      <c r="B10" s="98"/>
      <c r="C10" s="98"/>
      <c r="D10" s="98"/>
      <c r="E10" s="98"/>
      <c r="F10" s="98"/>
      <c r="G10" s="98"/>
      <c r="H10" s="98"/>
      <c r="I10" s="98"/>
      <c r="J10" s="98"/>
    </row>
    <row r="11" spans="1:10" ht="15.6">
      <c r="A11" s="97">
        <v>9</v>
      </c>
      <c r="B11" s="98"/>
      <c r="C11" s="98"/>
      <c r="D11" s="98"/>
      <c r="E11" s="98"/>
      <c r="F11" s="98"/>
      <c r="G11" s="98"/>
      <c r="H11" s="98"/>
      <c r="I11" s="98"/>
      <c r="J11" s="98"/>
    </row>
    <row r="12" spans="1:10" ht="15.6">
      <c r="A12" s="5"/>
      <c r="B12" s="1"/>
      <c r="C12" s="1"/>
      <c r="D12" s="1"/>
      <c r="E12" s="1"/>
      <c r="F12" s="1"/>
      <c r="G12" s="1"/>
      <c r="H12" s="1"/>
      <c r="I12" s="1"/>
      <c r="J12" s="1"/>
    </row>
    <row r="13" spans="1:10" ht="18" customHeight="1">
      <c r="A13" s="320" t="s">
        <v>1840</v>
      </c>
      <c r="B13" s="320"/>
      <c r="C13" s="320"/>
      <c r="D13" s="101"/>
      <c r="E13" s="5"/>
      <c r="F13" s="1"/>
      <c r="G13" s="1"/>
      <c r="H13" s="1"/>
      <c r="I13" s="1"/>
      <c r="J13" s="1"/>
    </row>
    <row r="14" spans="1:10" ht="24" customHeight="1">
      <c r="A14" s="46" t="s">
        <v>1841</v>
      </c>
      <c r="B14" s="47"/>
      <c r="C14" s="102"/>
      <c r="D14" s="101"/>
      <c r="E14" s="1"/>
      <c r="F14" s="1"/>
      <c r="G14" s="1"/>
      <c r="H14" s="1"/>
      <c r="I14" s="1"/>
      <c r="J14" s="1"/>
    </row>
    <row r="15" spans="1:10" s="1" customFormat="1" ht="15.6">
      <c r="A15" s="5" t="s">
        <v>1839</v>
      </c>
      <c r="C15" s="5"/>
    </row>
    <row r="16" spans="1:10">
      <c r="A16" s="21"/>
    </row>
    <row r="17" spans="1:1">
      <c r="A17" s="87"/>
    </row>
  </sheetData>
  <mergeCells count="1">
    <mergeCell ref="A13:C13"/>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0"/>
  <sheetViews>
    <sheetView topLeftCell="A24" zoomScale="94" zoomScaleNormal="94" workbookViewId="0">
      <selection activeCell="A38" sqref="A38:XFD40"/>
    </sheetView>
  </sheetViews>
  <sheetFormatPr defaultColWidth="9" defaultRowHeight="14.4"/>
  <cols>
    <col min="1" max="1" width="24" customWidth="1"/>
    <col min="2" max="2" width="28.33203125" customWidth="1"/>
    <col min="3" max="3" width="18.6640625" customWidth="1"/>
    <col min="4" max="4" width="13.6640625" customWidth="1"/>
    <col min="5" max="5" width="22.109375" customWidth="1"/>
    <col min="6" max="6" width="18.5546875" customWidth="1"/>
    <col min="7" max="7" width="19.88671875" customWidth="1"/>
    <col min="8" max="8" width="21.44140625" customWidth="1"/>
  </cols>
  <sheetData>
    <row r="1" spans="1:7" s="2" customFormat="1" ht="26.25" customHeight="1">
      <c r="A1" s="2" t="s">
        <v>1279</v>
      </c>
      <c r="E1" s="281"/>
    </row>
    <row r="2" spans="1:7" s="47" customFormat="1" ht="18.75" customHeight="1">
      <c r="A2" s="126" t="s">
        <v>1280</v>
      </c>
      <c r="B2" s="126" t="s">
        <v>1281</v>
      </c>
      <c r="C2" s="126" t="s">
        <v>1282</v>
      </c>
      <c r="D2" s="126" t="s">
        <v>1283</v>
      </c>
      <c r="E2" s="282" t="s">
        <v>1284</v>
      </c>
      <c r="F2" s="126" t="s">
        <v>126</v>
      </c>
      <c r="G2" s="126" t="s">
        <v>79</v>
      </c>
    </row>
    <row r="3" spans="1:7" s="2" customFormat="1" ht="23.25" customHeight="1">
      <c r="A3" s="17" t="s">
        <v>1842</v>
      </c>
      <c r="B3" s="17" t="s">
        <v>1285</v>
      </c>
      <c r="C3" s="17">
        <v>230</v>
      </c>
      <c r="D3" s="17">
        <v>350</v>
      </c>
      <c r="E3" s="283">
        <v>80500</v>
      </c>
      <c r="F3" s="17" t="s">
        <v>225</v>
      </c>
      <c r="G3" s="17" t="s">
        <v>1843</v>
      </c>
    </row>
    <row r="4" spans="1:7" s="2" customFormat="1" ht="24" customHeight="1">
      <c r="A4" s="17" t="s">
        <v>1844</v>
      </c>
      <c r="B4" s="17" t="s">
        <v>1285</v>
      </c>
      <c r="C4" s="17">
        <v>50</v>
      </c>
      <c r="D4" s="17">
        <v>1650</v>
      </c>
      <c r="E4" s="283">
        <v>82500</v>
      </c>
      <c r="F4" s="17" t="s">
        <v>225</v>
      </c>
      <c r="G4" s="17" t="s">
        <v>1843</v>
      </c>
    </row>
    <row r="5" spans="1:7" s="2" customFormat="1" ht="21" customHeight="1">
      <c r="A5" s="17" t="s">
        <v>1845</v>
      </c>
      <c r="B5" s="17" t="s">
        <v>1285</v>
      </c>
      <c r="C5" s="17">
        <v>25</v>
      </c>
      <c r="D5" s="17">
        <v>1679</v>
      </c>
      <c r="E5" s="283">
        <v>41975</v>
      </c>
      <c r="F5" s="17" t="s">
        <v>225</v>
      </c>
      <c r="G5" s="17" t="s">
        <v>1843</v>
      </c>
    </row>
    <row r="6" spans="1:7" s="2" customFormat="1" ht="26.25" customHeight="1">
      <c r="A6" s="17" t="s">
        <v>1846</v>
      </c>
      <c r="B6" s="17" t="s">
        <v>1285</v>
      </c>
      <c r="C6" s="17">
        <v>1256</v>
      </c>
      <c r="D6" s="17">
        <v>65</v>
      </c>
      <c r="E6" s="283">
        <v>81640</v>
      </c>
      <c r="F6" s="17" t="s">
        <v>225</v>
      </c>
      <c r="G6" s="17" t="s">
        <v>1843</v>
      </c>
    </row>
    <row r="7" spans="1:7" s="2" customFormat="1" ht="20.25" customHeight="1">
      <c r="A7" s="17" t="s">
        <v>1847</v>
      </c>
      <c r="B7" s="17" t="s">
        <v>1285</v>
      </c>
      <c r="C7" s="17">
        <v>350</v>
      </c>
      <c r="D7" s="17">
        <v>14</v>
      </c>
      <c r="E7" s="283">
        <v>4900</v>
      </c>
      <c r="F7" s="17" t="s">
        <v>225</v>
      </c>
      <c r="G7" s="17" t="s">
        <v>1843</v>
      </c>
    </row>
    <row r="8" spans="1:7" s="2" customFormat="1" ht="25.5" customHeight="1">
      <c r="A8" s="17" t="s">
        <v>1290</v>
      </c>
      <c r="B8" s="17" t="s">
        <v>1285</v>
      </c>
      <c r="C8" s="17">
        <v>1000</v>
      </c>
      <c r="D8" s="17">
        <v>5</v>
      </c>
      <c r="E8" s="283">
        <v>5000</v>
      </c>
      <c r="F8" s="17" t="s">
        <v>225</v>
      </c>
      <c r="G8" s="17" t="s">
        <v>1843</v>
      </c>
    </row>
    <row r="9" spans="1:7" s="2" customFormat="1" ht="24" customHeight="1">
      <c r="A9" s="17" t="s">
        <v>1848</v>
      </c>
      <c r="B9" s="17" t="s">
        <v>1285</v>
      </c>
      <c r="C9" s="17">
        <v>5</v>
      </c>
      <c r="D9" s="17">
        <v>5035</v>
      </c>
      <c r="E9" s="283">
        <v>25175</v>
      </c>
      <c r="F9" s="17" t="s">
        <v>225</v>
      </c>
      <c r="G9" s="17" t="s">
        <v>1843</v>
      </c>
    </row>
    <row r="10" spans="1:7" s="2" customFormat="1" ht="23.25" customHeight="1">
      <c r="A10" s="17" t="s">
        <v>1287</v>
      </c>
      <c r="B10" s="17" t="s">
        <v>1288</v>
      </c>
      <c r="C10" s="17">
        <v>6</v>
      </c>
      <c r="D10" s="17">
        <v>3328.8</v>
      </c>
      <c r="E10" s="283">
        <v>19972.8</v>
      </c>
      <c r="F10" s="17" t="s">
        <v>225</v>
      </c>
      <c r="G10" s="17" t="s">
        <v>1843</v>
      </c>
    </row>
    <row r="11" spans="1:7" s="2" customFormat="1" ht="22.5" customHeight="1">
      <c r="A11" s="17" t="s">
        <v>1289</v>
      </c>
      <c r="B11" s="17" t="s">
        <v>1285</v>
      </c>
      <c r="C11" s="17">
        <v>5</v>
      </c>
      <c r="D11" s="17">
        <v>1600</v>
      </c>
      <c r="E11" s="283">
        <v>8000</v>
      </c>
      <c r="F11" s="17" t="s">
        <v>225</v>
      </c>
      <c r="G11" s="17" t="s">
        <v>1843</v>
      </c>
    </row>
    <row r="12" spans="1:7" s="2" customFormat="1" ht="29.25" customHeight="1">
      <c r="A12" s="17" t="s">
        <v>1849</v>
      </c>
      <c r="B12" s="17" t="s">
        <v>1850</v>
      </c>
      <c r="C12" s="17">
        <v>18</v>
      </c>
      <c r="D12" s="17">
        <v>11050</v>
      </c>
      <c r="E12" s="283">
        <v>198900</v>
      </c>
      <c r="F12" s="17" t="s">
        <v>225</v>
      </c>
      <c r="G12" s="17" t="s">
        <v>1843</v>
      </c>
    </row>
    <row r="13" spans="1:7" s="2" customFormat="1" ht="24" customHeight="1">
      <c r="A13" s="17" t="s">
        <v>1291</v>
      </c>
      <c r="B13" s="17" t="s">
        <v>1285</v>
      </c>
      <c r="C13" s="17">
        <v>220</v>
      </c>
      <c r="D13" s="17">
        <v>1195</v>
      </c>
      <c r="E13" s="283">
        <v>262900</v>
      </c>
      <c r="F13" s="17" t="s">
        <v>225</v>
      </c>
      <c r="G13" s="17" t="s">
        <v>1843</v>
      </c>
    </row>
    <row r="14" spans="1:7" s="2" customFormat="1" ht="24.75" customHeight="1">
      <c r="A14" s="17" t="s">
        <v>1292</v>
      </c>
      <c r="B14" s="17" t="s">
        <v>1293</v>
      </c>
      <c r="C14" s="17">
        <v>6</v>
      </c>
      <c r="D14" s="17">
        <v>4700</v>
      </c>
      <c r="E14" s="283">
        <v>28200</v>
      </c>
      <c r="F14" s="17" t="s">
        <v>225</v>
      </c>
      <c r="G14" s="17" t="s">
        <v>1843</v>
      </c>
    </row>
    <row r="15" spans="1:7" s="2" customFormat="1" ht="24" customHeight="1">
      <c r="A15" s="17" t="s">
        <v>1294</v>
      </c>
      <c r="B15" s="17" t="s">
        <v>1293</v>
      </c>
      <c r="C15" s="17">
        <v>21</v>
      </c>
      <c r="D15" s="17">
        <v>7600</v>
      </c>
      <c r="E15" s="283">
        <v>159600</v>
      </c>
      <c r="F15" s="17" t="s">
        <v>225</v>
      </c>
      <c r="G15" s="17" t="s">
        <v>1843</v>
      </c>
    </row>
    <row r="16" spans="1:7" s="2" customFormat="1" ht="21" customHeight="1">
      <c r="A16" s="17" t="s">
        <v>1286</v>
      </c>
      <c r="B16" s="17" t="s">
        <v>1285</v>
      </c>
      <c r="C16" s="17">
        <v>14</v>
      </c>
      <c r="D16" s="284">
        <v>200</v>
      </c>
      <c r="E16" s="283">
        <v>2800</v>
      </c>
      <c r="F16" s="17" t="s">
        <v>225</v>
      </c>
      <c r="G16" s="17" t="s">
        <v>1843</v>
      </c>
    </row>
    <row r="17" spans="1:7" s="2" customFormat="1" ht="20.25" customHeight="1">
      <c r="A17" s="17" t="s">
        <v>1295</v>
      </c>
      <c r="B17" s="17" t="s">
        <v>1285</v>
      </c>
      <c r="C17" s="17">
        <v>4</v>
      </c>
      <c r="D17" s="285">
        <v>17500</v>
      </c>
      <c r="E17" s="283">
        <v>70000</v>
      </c>
      <c r="F17" s="17" t="s">
        <v>225</v>
      </c>
      <c r="G17" s="17" t="s">
        <v>1843</v>
      </c>
    </row>
    <row r="18" spans="1:7" s="2" customFormat="1" ht="21" customHeight="1">
      <c r="A18" s="17" t="s">
        <v>1851</v>
      </c>
      <c r="B18" s="17" t="s">
        <v>1285</v>
      </c>
      <c r="C18" s="17">
        <v>3</v>
      </c>
      <c r="D18" s="285">
        <v>26500</v>
      </c>
      <c r="E18" s="283">
        <v>79500</v>
      </c>
      <c r="F18" s="17" t="s">
        <v>225</v>
      </c>
      <c r="G18" s="17" t="s">
        <v>1843</v>
      </c>
    </row>
    <row r="19" spans="1:7" s="2" customFormat="1" ht="18.75" customHeight="1">
      <c r="A19" s="17" t="s">
        <v>1296</v>
      </c>
      <c r="B19" s="17" t="s">
        <v>1285</v>
      </c>
      <c r="C19" s="17">
        <v>1</v>
      </c>
      <c r="D19" s="284">
        <v>16500</v>
      </c>
      <c r="E19" s="283">
        <v>33000</v>
      </c>
      <c r="F19" s="17" t="s">
        <v>225</v>
      </c>
      <c r="G19" s="17" t="s">
        <v>1843</v>
      </c>
    </row>
    <row r="20" spans="1:7" s="2" customFormat="1" ht="22.5" customHeight="1">
      <c r="A20" s="17" t="s">
        <v>1297</v>
      </c>
      <c r="B20" s="17" t="s">
        <v>1285</v>
      </c>
      <c r="C20" s="17">
        <v>2</v>
      </c>
      <c r="D20" s="284">
        <v>17500</v>
      </c>
      <c r="E20" s="283">
        <v>35000</v>
      </c>
      <c r="F20" s="17" t="s">
        <v>225</v>
      </c>
      <c r="G20" s="17" t="s">
        <v>1843</v>
      </c>
    </row>
    <row r="21" spans="1:7" s="2" customFormat="1" ht="22.5" customHeight="1">
      <c r="A21" s="17" t="s">
        <v>1298</v>
      </c>
      <c r="B21" s="17" t="s">
        <v>1285</v>
      </c>
      <c r="C21" s="17">
        <v>2</v>
      </c>
      <c r="D21" s="284">
        <v>17500</v>
      </c>
      <c r="E21" s="283">
        <v>35000</v>
      </c>
      <c r="F21" s="17" t="s">
        <v>225</v>
      </c>
      <c r="G21" s="17" t="s">
        <v>1843</v>
      </c>
    </row>
    <row r="22" spans="1:7" s="2" customFormat="1" ht="20.25" customHeight="1">
      <c r="A22" s="17" t="s">
        <v>1299</v>
      </c>
      <c r="B22" s="17" t="s">
        <v>1285</v>
      </c>
      <c r="C22" s="17">
        <v>1</v>
      </c>
      <c r="D22" s="284">
        <v>17500</v>
      </c>
      <c r="E22" s="283">
        <v>35000</v>
      </c>
      <c r="F22" s="17" t="s">
        <v>225</v>
      </c>
      <c r="G22" s="17" t="s">
        <v>1843</v>
      </c>
    </row>
    <row r="23" spans="1:7" s="2" customFormat="1" ht="21.75" customHeight="1">
      <c r="A23" s="17" t="s">
        <v>1852</v>
      </c>
      <c r="B23" s="17" t="s">
        <v>1285</v>
      </c>
      <c r="C23" s="17">
        <v>1</v>
      </c>
      <c r="D23" s="285">
        <v>29750</v>
      </c>
      <c r="E23" s="283">
        <v>29750</v>
      </c>
      <c r="F23" s="17" t="s">
        <v>225</v>
      </c>
      <c r="G23" s="17" t="s">
        <v>1843</v>
      </c>
    </row>
    <row r="24" spans="1:7" s="2" customFormat="1" ht="24.75" customHeight="1">
      <c r="A24" s="17" t="s">
        <v>1853</v>
      </c>
      <c r="B24" s="17" t="s">
        <v>1285</v>
      </c>
      <c r="C24" s="17">
        <v>1</v>
      </c>
      <c r="D24" s="285">
        <v>30250</v>
      </c>
      <c r="E24" s="283">
        <v>30250</v>
      </c>
      <c r="F24" s="17" t="s">
        <v>225</v>
      </c>
      <c r="G24" s="17" t="s">
        <v>1843</v>
      </c>
    </row>
    <row r="25" spans="1:7" s="2" customFormat="1" ht="21.75" customHeight="1">
      <c r="A25" s="17" t="s">
        <v>1854</v>
      </c>
      <c r="B25" s="17" t="s">
        <v>1285</v>
      </c>
      <c r="C25" s="17">
        <v>1</v>
      </c>
      <c r="D25" s="285">
        <v>30250</v>
      </c>
      <c r="E25" s="283">
        <f t="shared" ref="E25:E26" si="0">D25</f>
        <v>30250</v>
      </c>
      <c r="F25" s="17" t="s">
        <v>225</v>
      </c>
      <c r="G25" s="17" t="s">
        <v>1843</v>
      </c>
    </row>
    <row r="26" spans="1:7" s="2" customFormat="1" ht="21.75" customHeight="1">
      <c r="A26" s="17" t="s">
        <v>1855</v>
      </c>
      <c r="B26" s="17" t="s">
        <v>1285</v>
      </c>
      <c r="C26" s="17">
        <v>1</v>
      </c>
      <c r="D26" s="285">
        <v>30250</v>
      </c>
      <c r="E26" s="283">
        <f t="shared" si="0"/>
        <v>30250</v>
      </c>
      <c r="F26" s="17" t="s">
        <v>225</v>
      </c>
      <c r="G26" s="17" t="s">
        <v>1843</v>
      </c>
    </row>
    <row r="27" spans="1:7" s="2" customFormat="1" ht="21.75" customHeight="1">
      <c r="A27" s="17" t="s">
        <v>1300</v>
      </c>
      <c r="B27" s="17" t="s">
        <v>1285</v>
      </c>
      <c r="C27" s="17">
        <v>4</v>
      </c>
      <c r="D27" s="285">
        <v>10000</v>
      </c>
      <c r="E27" s="283">
        <v>40000</v>
      </c>
      <c r="F27" s="17" t="s">
        <v>225</v>
      </c>
      <c r="G27" s="17" t="s">
        <v>1843</v>
      </c>
    </row>
    <row r="28" spans="1:7" s="2" customFormat="1" ht="23.25" customHeight="1">
      <c r="A28" s="17" t="s">
        <v>1856</v>
      </c>
      <c r="B28" s="17" t="s">
        <v>1285</v>
      </c>
      <c r="C28" s="17">
        <v>4</v>
      </c>
      <c r="D28" s="17">
        <v>7000</v>
      </c>
      <c r="E28" s="283">
        <v>28000</v>
      </c>
      <c r="F28" s="17" t="s">
        <v>225</v>
      </c>
      <c r="G28" s="17" t="s">
        <v>1843</v>
      </c>
    </row>
    <row r="29" spans="1:7" s="2" customFormat="1" ht="21.75" customHeight="1">
      <c r="A29" s="17" t="s">
        <v>1303</v>
      </c>
      <c r="B29" s="17" t="s">
        <v>1302</v>
      </c>
      <c r="C29" s="17">
        <v>3</v>
      </c>
      <c r="D29" s="17">
        <v>1350</v>
      </c>
      <c r="E29" s="283">
        <v>4050</v>
      </c>
      <c r="F29" s="17" t="s">
        <v>225</v>
      </c>
      <c r="G29" s="17" t="s">
        <v>1843</v>
      </c>
    </row>
    <row r="30" spans="1:7" s="2" customFormat="1" ht="19.5" customHeight="1">
      <c r="A30" s="17" t="s">
        <v>1304</v>
      </c>
      <c r="B30" s="17" t="s">
        <v>1288</v>
      </c>
      <c r="C30" s="17">
        <v>33</v>
      </c>
      <c r="D30" s="17">
        <v>900</v>
      </c>
      <c r="E30" s="283">
        <v>29700</v>
      </c>
      <c r="F30" s="17" t="s">
        <v>225</v>
      </c>
      <c r="G30" s="17" t="s">
        <v>1843</v>
      </c>
    </row>
    <row r="31" spans="1:7" s="2" customFormat="1" ht="23.25" customHeight="1">
      <c r="A31" s="17" t="s">
        <v>1857</v>
      </c>
      <c r="B31" s="17" t="s">
        <v>1288</v>
      </c>
      <c r="C31" s="17">
        <v>36</v>
      </c>
      <c r="D31" s="17">
        <v>670</v>
      </c>
      <c r="E31" s="283">
        <v>24120</v>
      </c>
      <c r="F31" s="17" t="s">
        <v>225</v>
      </c>
      <c r="G31" s="17" t="s">
        <v>1843</v>
      </c>
    </row>
    <row r="32" spans="1:7" s="2" customFormat="1" ht="23.25" customHeight="1">
      <c r="A32" s="17" t="s">
        <v>1858</v>
      </c>
      <c r="B32" s="17" t="s">
        <v>1285</v>
      </c>
      <c r="C32" s="17">
        <v>24</v>
      </c>
      <c r="D32" s="17">
        <v>195</v>
      </c>
      <c r="E32" s="283">
        <v>4680</v>
      </c>
      <c r="F32" s="17" t="s">
        <v>225</v>
      </c>
      <c r="G32" s="17" t="s">
        <v>1843</v>
      </c>
    </row>
    <row r="33" spans="1:12" s="2" customFormat="1" ht="22.5" customHeight="1">
      <c r="A33" s="17" t="s">
        <v>1305</v>
      </c>
      <c r="B33" s="17" t="s">
        <v>1285</v>
      </c>
      <c r="C33" s="17">
        <v>1</v>
      </c>
      <c r="D33" s="17">
        <v>1350</v>
      </c>
      <c r="E33" s="283">
        <v>1350</v>
      </c>
      <c r="F33" s="17" t="s">
        <v>225</v>
      </c>
      <c r="G33" s="17" t="s">
        <v>1843</v>
      </c>
    </row>
    <row r="34" spans="1:12" s="2" customFormat="1" ht="33" customHeight="1">
      <c r="A34" s="17" t="s">
        <v>1301</v>
      </c>
      <c r="B34" s="17" t="s">
        <v>1302</v>
      </c>
      <c r="C34" s="17">
        <v>20</v>
      </c>
      <c r="D34" s="17">
        <v>560</v>
      </c>
      <c r="E34" s="286">
        <v>11200</v>
      </c>
      <c r="F34" s="17" t="s">
        <v>225</v>
      </c>
      <c r="G34" s="17" t="s">
        <v>1843</v>
      </c>
    </row>
    <row r="35" spans="1:12" s="2" customFormat="1">
      <c r="A35" s="287" t="s">
        <v>1306</v>
      </c>
      <c r="B35" s="17"/>
      <c r="C35" s="17"/>
      <c r="D35" s="17"/>
      <c r="E35" s="288">
        <f>SUM(E3:E34)</f>
        <v>1553162.8</v>
      </c>
      <c r="F35" s="17"/>
      <c r="G35" s="17"/>
    </row>
    <row r="38" spans="1:12" s="39" customFormat="1" ht="18" customHeight="1">
      <c r="A38" s="320" t="s">
        <v>1859</v>
      </c>
      <c r="B38" s="320"/>
      <c r="C38" s="320"/>
      <c r="D38" s="101"/>
      <c r="E38" s="5"/>
      <c r="F38" s="1"/>
      <c r="G38" s="1"/>
      <c r="H38" s="1"/>
      <c r="I38" s="1"/>
      <c r="J38" s="1"/>
    </row>
    <row r="39" spans="1:12" s="1" customFormat="1" ht="15.6">
      <c r="A39" s="5" t="s">
        <v>1860</v>
      </c>
      <c r="E39" s="5"/>
      <c r="L39" s="6"/>
    </row>
    <row r="40" spans="1:12" s="1" customFormat="1" ht="15.6">
      <c r="A40" s="5" t="s">
        <v>1861</v>
      </c>
      <c r="C40" s="5"/>
    </row>
  </sheetData>
  <mergeCells count="1">
    <mergeCell ref="A38:C38"/>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5"/>
  <sheetViews>
    <sheetView workbookViewId="0">
      <selection activeCell="E16" sqref="E16"/>
    </sheetView>
  </sheetViews>
  <sheetFormatPr defaultColWidth="9" defaultRowHeight="14.4"/>
  <sheetData>
    <row r="1" spans="1:14" ht="17.399999999999999">
      <c r="A1" s="7" t="s">
        <v>1307</v>
      </c>
    </row>
    <row r="2" spans="1:14" ht="57.6">
      <c r="A2" s="74"/>
      <c r="B2" s="23" t="s">
        <v>1308</v>
      </c>
      <c r="C2" s="23" t="s">
        <v>1309</v>
      </c>
      <c r="D2" s="23" t="s">
        <v>1310</v>
      </c>
      <c r="E2" s="23" t="s">
        <v>1311</v>
      </c>
      <c r="F2" s="23" t="s">
        <v>1312</v>
      </c>
      <c r="G2" s="23" t="s">
        <v>1313</v>
      </c>
      <c r="H2" s="23" t="s">
        <v>1314</v>
      </c>
      <c r="I2" s="23" t="s">
        <v>1266</v>
      </c>
      <c r="J2" s="23" t="s">
        <v>1315</v>
      </c>
      <c r="K2" s="23" t="s">
        <v>105</v>
      </c>
      <c r="L2" s="23" t="s">
        <v>123</v>
      </c>
      <c r="M2" s="23" t="s">
        <v>107</v>
      </c>
      <c r="N2" s="23" t="s">
        <v>79</v>
      </c>
    </row>
    <row r="3" spans="1:14">
      <c r="A3" s="26">
        <v>1</v>
      </c>
      <c r="B3" s="34" t="s">
        <v>84</v>
      </c>
      <c r="C3" s="34" t="s">
        <v>84</v>
      </c>
      <c r="D3" s="34" t="s">
        <v>84</v>
      </c>
      <c r="E3" s="34" t="s">
        <v>84</v>
      </c>
      <c r="F3" s="34" t="s">
        <v>84</v>
      </c>
      <c r="G3" s="34" t="s">
        <v>84</v>
      </c>
      <c r="H3" s="34" t="s">
        <v>84</v>
      </c>
      <c r="I3" s="34" t="s">
        <v>84</v>
      </c>
      <c r="J3" s="34" t="s">
        <v>84</v>
      </c>
      <c r="K3" s="34" t="s">
        <v>84</v>
      </c>
      <c r="L3" s="34" t="s">
        <v>84</v>
      </c>
      <c r="M3" s="34" t="s">
        <v>84</v>
      </c>
      <c r="N3" s="34" t="s">
        <v>84</v>
      </c>
    </row>
    <row r="4" spans="1:14">
      <c r="A4" s="26">
        <v>2</v>
      </c>
      <c r="B4" s="34"/>
      <c r="C4" s="34"/>
      <c r="D4" s="34"/>
      <c r="E4" s="34"/>
      <c r="F4" s="34"/>
      <c r="G4" s="34"/>
      <c r="H4" s="34"/>
      <c r="I4" s="34"/>
      <c r="J4" s="34"/>
      <c r="K4" s="34"/>
      <c r="L4" s="34"/>
      <c r="M4" s="28"/>
      <c r="N4" s="28"/>
    </row>
    <row r="5" spans="1:14">
      <c r="A5" s="26">
        <v>3</v>
      </c>
      <c r="B5" s="34"/>
      <c r="C5" s="34"/>
      <c r="D5" s="34"/>
      <c r="E5" s="34"/>
      <c r="F5" s="34"/>
      <c r="G5" s="34"/>
      <c r="H5" s="34"/>
      <c r="I5" s="34"/>
      <c r="J5" s="34"/>
      <c r="K5" s="34"/>
      <c r="L5" s="34"/>
      <c r="M5" s="28"/>
      <c r="N5" s="28"/>
    </row>
    <row r="6" spans="1:14">
      <c r="A6" s="26">
        <v>4</v>
      </c>
      <c r="B6" s="28"/>
      <c r="C6" s="28"/>
      <c r="D6" s="28"/>
      <c r="E6" s="28"/>
      <c r="F6" s="28"/>
      <c r="G6" s="28"/>
      <c r="H6" s="28"/>
      <c r="I6" s="28"/>
      <c r="J6" s="28"/>
      <c r="K6" s="28"/>
      <c r="L6" s="28"/>
      <c r="M6" s="28"/>
      <c r="N6" s="28"/>
    </row>
    <row r="7" spans="1:14">
      <c r="A7" s="26">
        <v>5</v>
      </c>
      <c r="B7" s="28"/>
      <c r="C7" s="28"/>
      <c r="D7" s="28"/>
      <c r="E7" s="28"/>
      <c r="F7" s="28"/>
      <c r="G7" s="28"/>
      <c r="H7" s="28"/>
      <c r="I7" s="28"/>
      <c r="J7" s="28"/>
      <c r="K7" s="28"/>
      <c r="L7" s="28"/>
      <c r="M7" s="28"/>
      <c r="N7" s="28"/>
    </row>
    <row r="8" spans="1:14">
      <c r="A8" s="26">
        <v>6</v>
      </c>
      <c r="B8" s="28"/>
      <c r="C8" s="28"/>
      <c r="D8" s="28"/>
      <c r="E8" s="28"/>
      <c r="F8" s="28"/>
      <c r="G8" s="28"/>
      <c r="H8" s="28"/>
      <c r="I8" s="28"/>
      <c r="J8" s="28"/>
      <c r="K8" s="28"/>
      <c r="L8" s="28"/>
      <c r="M8" s="28"/>
      <c r="N8" s="28"/>
    </row>
    <row r="9" spans="1:14">
      <c r="A9" s="26">
        <v>7</v>
      </c>
      <c r="B9" s="28"/>
      <c r="C9" s="28"/>
      <c r="D9" s="28"/>
      <c r="E9" s="28"/>
      <c r="F9" s="28"/>
      <c r="G9" s="28"/>
      <c r="H9" s="28"/>
      <c r="I9" s="28"/>
      <c r="J9" s="28"/>
      <c r="K9" s="28"/>
      <c r="L9" s="28"/>
      <c r="M9" s="28"/>
      <c r="N9" s="28"/>
    </row>
    <row r="10" spans="1:14">
      <c r="A10" s="26">
        <v>8</v>
      </c>
      <c r="B10" s="28"/>
      <c r="C10" s="28"/>
      <c r="D10" s="28"/>
      <c r="E10" s="28"/>
      <c r="F10" s="28"/>
      <c r="G10" s="28"/>
      <c r="H10" s="28"/>
      <c r="I10" s="28"/>
      <c r="J10" s="28"/>
      <c r="K10" s="28"/>
      <c r="L10" s="28"/>
      <c r="M10" s="28"/>
      <c r="N10" s="28"/>
    </row>
    <row r="11" spans="1:14">
      <c r="A11" s="26">
        <v>9</v>
      </c>
      <c r="B11" s="28"/>
      <c r="C11" s="28"/>
      <c r="D11" s="28"/>
      <c r="E11" s="28"/>
      <c r="F11" s="28"/>
      <c r="G11" s="28"/>
      <c r="H11" s="28"/>
      <c r="I11" s="28"/>
      <c r="J11" s="28"/>
      <c r="K11" s="28"/>
      <c r="L11" s="28"/>
      <c r="M11" s="28"/>
      <c r="N11" s="28"/>
    </row>
    <row r="12" spans="1:14">
      <c r="A12" s="21"/>
    </row>
    <row r="13" spans="1:14" s="1" customFormat="1" ht="15.6">
      <c r="A13" s="5" t="s">
        <v>1837</v>
      </c>
      <c r="E13" s="5"/>
      <c r="L13" s="6"/>
    </row>
    <row r="14" spans="1:14" s="1" customFormat="1" ht="15.6">
      <c r="A14" s="5" t="s">
        <v>1838</v>
      </c>
      <c r="C14" s="5"/>
    </row>
    <row r="15" spans="1:14" s="1" customFormat="1" ht="15.6">
      <c r="A15" s="5" t="s">
        <v>1839</v>
      </c>
      <c r="C15" s="5"/>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3"/>
  <sheetViews>
    <sheetView workbookViewId="0">
      <selection activeCell="E11" sqref="E11"/>
    </sheetView>
  </sheetViews>
  <sheetFormatPr defaultColWidth="9" defaultRowHeight="14.4"/>
  <sheetData>
    <row r="1" spans="1:16" ht="17.399999999999999">
      <c r="A1" s="7" t="s">
        <v>1316</v>
      </c>
    </row>
    <row r="2" spans="1:16" ht="60">
      <c r="A2" s="91"/>
      <c r="B2" s="92" t="s">
        <v>1317</v>
      </c>
      <c r="C2" s="92" t="s">
        <v>1318</v>
      </c>
      <c r="D2" s="92" t="s">
        <v>1310</v>
      </c>
      <c r="E2" s="92" t="s">
        <v>1311</v>
      </c>
      <c r="F2" s="92" t="s">
        <v>1319</v>
      </c>
      <c r="G2" s="92" t="s">
        <v>1320</v>
      </c>
      <c r="H2" s="92" t="s">
        <v>1321</v>
      </c>
      <c r="I2" s="92" t="s">
        <v>1313</v>
      </c>
      <c r="J2" s="92" t="s">
        <v>1314</v>
      </c>
      <c r="K2" s="92" t="s">
        <v>1266</v>
      </c>
      <c r="L2" s="92" t="s">
        <v>1315</v>
      </c>
      <c r="M2" s="92" t="s">
        <v>105</v>
      </c>
      <c r="N2" s="92" t="s">
        <v>123</v>
      </c>
      <c r="O2" s="92" t="s">
        <v>107</v>
      </c>
      <c r="P2" s="92" t="s">
        <v>79</v>
      </c>
    </row>
    <row r="3" spans="1:16">
      <c r="A3" s="26">
        <v>1</v>
      </c>
      <c r="B3" s="57" t="s">
        <v>84</v>
      </c>
      <c r="C3" s="57" t="s">
        <v>84</v>
      </c>
      <c r="D3" s="57" t="s">
        <v>84</v>
      </c>
      <c r="E3" s="57" t="s">
        <v>84</v>
      </c>
      <c r="F3" s="57" t="s">
        <v>84</v>
      </c>
      <c r="G3" s="57" t="s">
        <v>84</v>
      </c>
      <c r="H3" s="57" t="s">
        <v>84</v>
      </c>
      <c r="I3" s="57" t="s">
        <v>84</v>
      </c>
      <c r="J3" s="57" t="s">
        <v>84</v>
      </c>
      <c r="K3" s="57" t="s">
        <v>84</v>
      </c>
      <c r="L3" s="57" t="s">
        <v>84</v>
      </c>
      <c r="M3" s="57" t="s">
        <v>84</v>
      </c>
      <c r="N3" s="57" t="s">
        <v>84</v>
      </c>
      <c r="O3" s="57" t="s">
        <v>84</v>
      </c>
      <c r="P3" s="57" t="s">
        <v>84</v>
      </c>
    </row>
    <row r="4" spans="1:16">
      <c r="A4" s="26">
        <v>2</v>
      </c>
      <c r="B4" s="34"/>
      <c r="C4" s="34"/>
      <c r="D4" s="34"/>
      <c r="E4" s="34"/>
      <c r="F4" s="34"/>
      <c r="G4" s="34"/>
      <c r="H4" s="34"/>
      <c r="I4" s="34"/>
      <c r="J4" s="34"/>
      <c r="K4" s="34"/>
      <c r="L4" s="34"/>
      <c r="M4" s="34"/>
      <c r="N4" s="34"/>
      <c r="O4" s="28"/>
      <c r="P4" s="28"/>
    </row>
    <row r="5" spans="1:16">
      <c r="A5" s="26">
        <v>3</v>
      </c>
      <c r="B5" s="34"/>
      <c r="C5" s="34"/>
      <c r="D5" s="34"/>
      <c r="E5" s="34"/>
      <c r="F5" s="34"/>
      <c r="G5" s="34"/>
      <c r="H5" s="34"/>
      <c r="I5" s="34"/>
      <c r="J5" s="34"/>
      <c r="K5" s="34"/>
      <c r="L5" s="34"/>
      <c r="M5" s="34"/>
      <c r="N5" s="34"/>
      <c r="O5" s="28"/>
      <c r="P5" s="28"/>
    </row>
    <row r="6" spans="1:16">
      <c r="A6" s="26">
        <v>4</v>
      </c>
      <c r="B6" s="28"/>
      <c r="C6" s="28"/>
      <c r="D6" s="28"/>
      <c r="E6" s="28"/>
      <c r="F6" s="28"/>
      <c r="G6" s="28"/>
      <c r="H6" s="28"/>
      <c r="I6" s="28"/>
      <c r="J6" s="28"/>
      <c r="K6" s="28"/>
      <c r="L6" s="28"/>
      <c r="M6" s="28"/>
      <c r="N6" s="28"/>
      <c r="O6" s="28"/>
      <c r="P6" s="28"/>
    </row>
    <row r="7" spans="1:16">
      <c r="A7" s="26">
        <v>5</v>
      </c>
      <c r="B7" s="28"/>
      <c r="C7" s="28"/>
      <c r="D7" s="28"/>
      <c r="E7" s="28"/>
      <c r="F7" s="28"/>
      <c r="G7" s="28"/>
      <c r="H7" s="28"/>
      <c r="I7" s="28"/>
      <c r="J7" s="28"/>
      <c r="K7" s="28"/>
      <c r="L7" s="28"/>
      <c r="M7" s="28"/>
      <c r="N7" s="28"/>
      <c r="O7" s="28"/>
      <c r="P7" s="28"/>
    </row>
    <row r="8" spans="1:16">
      <c r="A8" s="26">
        <v>6</v>
      </c>
      <c r="B8" s="28"/>
      <c r="C8" s="28"/>
      <c r="D8" s="28"/>
      <c r="E8" s="28"/>
      <c r="F8" s="28"/>
      <c r="G8" s="28"/>
      <c r="H8" s="28"/>
      <c r="I8" s="28"/>
      <c r="J8" s="28"/>
      <c r="K8" s="28"/>
      <c r="L8" s="28"/>
      <c r="M8" s="28"/>
      <c r="N8" s="28"/>
      <c r="O8" s="28"/>
      <c r="P8" s="28"/>
    </row>
    <row r="9" spans="1:16">
      <c r="A9" s="37"/>
      <c r="B9" s="37"/>
    </row>
    <row r="10" spans="1:16">
      <c r="A10" s="37"/>
      <c r="C10" s="37"/>
    </row>
    <row r="11" spans="1:16" s="1" customFormat="1" ht="15.6">
      <c r="A11" s="5" t="s">
        <v>1837</v>
      </c>
      <c r="E11" s="5"/>
      <c r="L11" s="6"/>
    </row>
    <row r="12" spans="1:16" s="1" customFormat="1" ht="15.6">
      <c r="A12" s="5" t="s">
        <v>1838</v>
      </c>
      <c r="C12" s="5"/>
    </row>
    <row r="13" spans="1:16" s="1" customFormat="1" ht="15.6">
      <c r="A13" s="5" t="s">
        <v>1839</v>
      </c>
      <c r="C13" s="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4"/>
  <sheetViews>
    <sheetView workbookViewId="0">
      <selection activeCell="C17" sqref="C17"/>
    </sheetView>
  </sheetViews>
  <sheetFormatPr defaultColWidth="9" defaultRowHeight="14.4"/>
  <sheetData>
    <row r="1" spans="1:20" ht="17.399999999999999">
      <c r="A1" s="7" t="s">
        <v>1322</v>
      </c>
    </row>
    <row r="2" spans="1:20" s="297" customFormat="1" ht="82.8">
      <c r="A2" s="313"/>
      <c r="B2" s="314" t="s">
        <v>175</v>
      </c>
      <c r="C2" s="314" t="s">
        <v>111</v>
      </c>
      <c r="D2" s="314" t="s">
        <v>1323</v>
      </c>
      <c r="E2" s="314" t="s">
        <v>1324</v>
      </c>
      <c r="F2" s="314" t="s">
        <v>115</v>
      </c>
      <c r="G2" s="314" t="s">
        <v>1325</v>
      </c>
      <c r="H2" s="314" t="s">
        <v>117</v>
      </c>
      <c r="I2" s="314" t="s">
        <v>118</v>
      </c>
      <c r="J2" s="314" t="s">
        <v>119</v>
      </c>
      <c r="K2" s="314" t="s">
        <v>1326</v>
      </c>
      <c r="L2" s="314" t="s">
        <v>122</v>
      </c>
      <c r="M2" s="314" t="s">
        <v>105</v>
      </c>
      <c r="N2" s="314" t="s">
        <v>123</v>
      </c>
      <c r="O2" s="314" t="s">
        <v>124</v>
      </c>
      <c r="P2" s="314" t="s">
        <v>125</v>
      </c>
      <c r="Q2" s="314" t="s">
        <v>77</v>
      </c>
      <c r="R2" s="314" t="s">
        <v>126</v>
      </c>
      <c r="S2" s="314" t="s">
        <v>127</v>
      </c>
      <c r="T2" s="314" t="s">
        <v>129</v>
      </c>
    </row>
    <row r="3" spans="1:20">
      <c r="A3" s="26">
        <v>1</v>
      </c>
      <c r="B3" s="57" t="s">
        <v>84</v>
      </c>
      <c r="C3" s="57" t="s">
        <v>84</v>
      </c>
      <c r="D3" s="57" t="s">
        <v>84</v>
      </c>
      <c r="E3" s="57" t="s">
        <v>84</v>
      </c>
      <c r="F3" s="57" t="s">
        <v>84</v>
      </c>
      <c r="G3" s="57" t="s">
        <v>84</v>
      </c>
      <c r="H3" s="57" t="s">
        <v>84</v>
      </c>
      <c r="I3" s="57" t="s">
        <v>84</v>
      </c>
      <c r="J3" s="57" t="s">
        <v>84</v>
      </c>
      <c r="K3" s="57" t="s">
        <v>84</v>
      </c>
      <c r="L3" s="57" t="s">
        <v>84</v>
      </c>
      <c r="M3" s="57" t="s">
        <v>84</v>
      </c>
      <c r="N3" s="57" t="s">
        <v>84</v>
      </c>
      <c r="O3" s="57" t="s">
        <v>84</v>
      </c>
      <c r="P3" s="57" t="s">
        <v>84</v>
      </c>
      <c r="Q3" s="57" t="s">
        <v>84</v>
      </c>
      <c r="R3" s="57" t="s">
        <v>84</v>
      </c>
      <c r="S3" s="57" t="s">
        <v>84</v>
      </c>
      <c r="T3" s="57" t="s">
        <v>84</v>
      </c>
    </row>
    <row r="4" spans="1:20">
      <c r="A4" s="26">
        <v>2</v>
      </c>
      <c r="B4" s="34"/>
      <c r="C4" s="34"/>
      <c r="D4" s="34"/>
      <c r="E4" s="34"/>
      <c r="F4" s="34"/>
      <c r="G4" s="34"/>
      <c r="H4" s="34"/>
      <c r="I4" s="34"/>
      <c r="J4" s="34"/>
      <c r="K4" s="34"/>
      <c r="L4" s="34"/>
      <c r="M4" s="34"/>
      <c r="N4" s="34"/>
      <c r="O4" s="34"/>
      <c r="P4" s="34"/>
      <c r="Q4" s="34"/>
      <c r="R4" s="34"/>
      <c r="S4" s="34"/>
      <c r="T4" s="34"/>
    </row>
    <row r="5" spans="1:20">
      <c r="A5" s="26">
        <v>3</v>
      </c>
      <c r="B5" s="34"/>
      <c r="C5" s="34"/>
      <c r="D5" s="34"/>
      <c r="E5" s="34"/>
      <c r="F5" s="34"/>
      <c r="G5" s="34"/>
      <c r="H5" s="34"/>
      <c r="I5" s="34"/>
      <c r="J5" s="34"/>
      <c r="K5" s="34"/>
      <c r="L5" s="34"/>
      <c r="M5" s="34"/>
      <c r="N5" s="34"/>
      <c r="O5" s="34"/>
      <c r="P5" s="34"/>
      <c r="Q5" s="34"/>
      <c r="R5" s="34"/>
      <c r="S5" s="34"/>
      <c r="T5" s="34"/>
    </row>
    <row r="6" spans="1:20">
      <c r="A6" s="26">
        <v>4</v>
      </c>
      <c r="B6" s="34"/>
      <c r="C6" s="34"/>
      <c r="D6" s="34"/>
      <c r="E6" s="34"/>
      <c r="F6" s="34"/>
      <c r="G6" s="34"/>
      <c r="H6" s="34"/>
      <c r="I6" s="34"/>
      <c r="J6" s="34"/>
      <c r="K6" s="34"/>
      <c r="L6" s="34"/>
      <c r="M6" s="34"/>
      <c r="N6" s="34"/>
      <c r="O6" s="34"/>
      <c r="P6" s="34"/>
      <c r="Q6" s="34"/>
      <c r="R6" s="34"/>
      <c r="S6" s="34"/>
      <c r="T6" s="34"/>
    </row>
    <row r="7" spans="1:20">
      <c r="A7" s="26">
        <v>5</v>
      </c>
      <c r="B7" s="34"/>
      <c r="C7" s="34"/>
      <c r="D7" s="34"/>
      <c r="E7" s="34"/>
      <c r="F7" s="34"/>
      <c r="G7" s="34"/>
      <c r="H7" s="34"/>
      <c r="I7" s="34"/>
      <c r="J7" s="34"/>
      <c r="K7" s="34"/>
      <c r="L7" s="34"/>
      <c r="M7" s="34"/>
      <c r="N7" s="34"/>
      <c r="O7" s="34"/>
      <c r="P7" s="34"/>
      <c r="Q7" s="34"/>
      <c r="R7" s="34"/>
      <c r="S7" s="34"/>
      <c r="T7" s="34"/>
    </row>
    <row r="8" spans="1:20">
      <c r="A8" s="26">
        <v>6</v>
      </c>
      <c r="B8" s="34"/>
      <c r="C8" s="34"/>
      <c r="D8" s="34"/>
      <c r="E8" s="34"/>
      <c r="F8" s="34"/>
      <c r="G8" s="34"/>
      <c r="H8" s="34"/>
      <c r="I8" s="34"/>
      <c r="J8" s="34"/>
      <c r="K8" s="34"/>
      <c r="L8" s="34"/>
      <c r="M8" s="34"/>
      <c r="N8" s="34"/>
      <c r="O8" s="34"/>
      <c r="P8" s="34"/>
      <c r="Q8" s="34"/>
      <c r="R8" s="34"/>
      <c r="S8" s="34"/>
      <c r="T8" s="34"/>
    </row>
    <row r="9" spans="1:20">
      <c r="A9" s="26">
        <v>7</v>
      </c>
      <c r="B9" s="34"/>
      <c r="C9" s="34"/>
      <c r="D9" s="34"/>
      <c r="E9" s="34"/>
      <c r="F9" s="34"/>
      <c r="G9" s="34"/>
      <c r="H9" s="34"/>
      <c r="I9" s="34"/>
      <c r="J9" s="34"/>
      <c r="K9" s="34"/>
      <c r="L9" s="34"/>
      <c r="M9" s="34"/>
      <c r="N9" s="34"/>
      <c r="O9" s="34"/>
      <c r="P9" s="34"/>
      <c r="Q9" s="34"/>
      <c r="R9" s="34"/>
      <c r="S9" s="34"/>
      <c r="T9" s="34"/>
    </row>
    <row r="10" spans="1:20">
      <c r="A10" s="21"/>
    </row>
    <row r="11" spans="1:20">
      <c r="A11" s="21"/>
    </row>
    <row r="12" spans="1:20" s="1" customFormat="1" ht="15.6">
      <c r="A12" s="5" t="s">
        <v>1837</v>
      </c>
      <c r="E12" s="5"/>
      <c r="L12" s="6"/>
    </row>
    <row r="13" spans="1:20" s="1" customFormat="1" ht="15.6">
      <c r="A13" s="5" t="s">
        <v>1838</v>
      </c>
      <c r="C13" s="5"/>
    </row>
    <row r="14" spans="1:20" s="1" customFormat="1" ht="15.6">
      <c r="A14" s="5" t="s">
        <v>1839</v>
      </c>
      <c r="C14" s="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2"/>
  <sheetViews>
    <sheetView workbookViewId="0">
      <selection activeCell="H16" sqref="H16"/>
    </sheetView>
  </sheetViews>
  <sheetFormatPr defaultColWidth="9" defaultRowHeight="14.4"/>
  <sheetData>
    <row r="1" spans="1:13" ht="17.399999999999999">
      <c r="A1" s="7" t="s">
        <v>1327</v>
      </c>
    </row>
    <row r="2" spans="1:13" ht="86.4">
      <c r="A2" s="35"/>
      <c r="B2" s="23" t="s">
        <v>1328</v>
      </c>
      <c r="C2" s="23" t="s">
        <v>1329</v>
      </c>
      <c r="D2" s="23" t="s">
        <v>1330</v>
      </c>
      <c r="E2" s="23" t="s">
        <v>1331</v>
      </c>
      <c r="F2" s="23" t="s">
        <v>1332</v>
      </c>
      <c r="G2" s="23" t="s">
        <v>1284</v>
      </c>
      <c r="H2" s="23" t="s">
        <v>1333</v>
      </c>
      <c r="I2" s="23" t="s">
        <v>1334</v>
      </c>
      <c r="J2" s="23" t="s">
        <v>105</v>
      </c>
      <c r="K2" s="23" t="s">
        <v>123</v>
      </c>
      <c r="L2" s="23" t="s">
        <v>107</v>
      </c>
      <c r="M2" s="23" t="s">
        <v>79</v>
      </c>
    </row>
    <row r="3" spans="1:13">
      <c r="A3" s="24">
        <v>1</v>
      </c>
      <c r="B3" s="57" t="s">
        <v>84</v>
      </c>
      <c r="C3" s="57" t="s">
        <v>84</v>
      </c>
      <c r="D3" s="57" t="s">
        <v>84</v>
      </c>
      <c r="E3" s="57" t="s">
        <v>84</v>
      </c>
      <c r="F3" s="57" t="s">
        <v>84</v>
      </c>
      <c r="G3" s="57" t="s">
        <v>84</v>
      </c>
      <c r="H3" s="57" t="s">
        <v>84</v>
      </c>
      <c r="I3" s="57" t="s">
        <v>84</v>
      </c>
      <c r="J3" s="57" t="s">
        <v>84</v>
      </c>
      <c r="K3" s="57" t="s">
        <v>84</v>
      </c>
      <c r="L3" s="57" t="s">
        <v>84</v>
      </c>
      <c r="M3" s="57" t="s">
        <v>84</v>
      </c>
    </row>
    <row r="4" spans="1:13">
      <c r="A4" s="24">
        <v>2</v>
      </c>
      <c r="B4" s="34"/>
      <c r="C4" s="34"/>
      <c r="D4" s="34"/>
      <c r="E4" s="34"/>
      <c r="F4" s="34"/>
      <c r="G4" s="34"/>
      <c r="H4" s="34"/>
      <c r="I4" s="34"/>
      <c r="J4" s="34"/>
      <c r="K4" s="34"/>
      <c r="L4" s="34"/>
      <c r="M4" s="34"/>
    </row>
    <row r="5" spans="1:13">
      <c r="A5" s="24">
        <v>3</v>
      </c>
      <c r="B5" s="34"/>
      <c r="C5" s="34"/>
      <c r="D5" s="34"/>
      <c r="E5" s="34"/>
      <c r="F5" s="34"/>
      <c r="G5" s="34"/>
      <c r="H5" s="34"/>
      <c r="I5" s="34"/>
      <c r="J5" s="34"/>
      <c r="K5" s="34"/>
      <c r="L5" s="34"/>
      <c r="M5" s="34"/>
    </row>
    <row r="6" spans="1:13">
      <c r="A6" s="24">
        <v>4</v>
      </c>
      <c r="B6" s="28"/>
      <c r="C6" s="28"/>
      <c r="D6" s="28"/>
      <c r="E6" s="28"/>
      <c r="F6" s="28"/>
      <c r="G6" s="28"/>
      <c r="H6" s="28"/>
      <c r="I6" s="28"/>
      <c r="J6" s="28"/>
      <c r="K6" s="28"/>
      <c r="L6" s="28"/>
      <c r="M6" s="28"/>
    </row>
    <row r="7" spans="1:13">
      <c r="A7" s="21"/>
    </row>
    <row r="8" spans="1:13">
      <c r="A8" s="21"/>
    </row>
    <row r="9" spans="1:13" s="1" customFormat="1" ht="15.6">
      <c r="A9" s="5" t="s">
        <v>1837</v>
      </c>
      <c r="E9" s="5"/>
      <c r="L9" s="6"/>
    </row>
    <row r="10" spans="1:13" s="1" customFormat="1" ht="15.6">
      <c r="A10" s="5" t="s">
        <v>1838</v>
      </c>
      <c r="C10" s="5"/>
    </row>
    <row r="11" spans="1:13" s="1" customFormat="1" ht="15.6">
      <c r="A11" s="5" t="s">
        <v>1839</v>
      </c>
      <c r="C11" s="5"/>
    </row>
    <row r="12" spans="1:13" ht="15.6">
      <c r="A12" s="60"/>
      <c r="B12" s="39"/>
      <c r="C12" s="39"/>
      <c r="D12" s="39"/>
      <c r="E12" s="39"/>
      <c r="F12" s="39"/>
      <c r="G12" s="39"/>
      <c r="H12" s="39"/>
      <c r="I12" s="39"/>
      <c r="J12" s="39"/>
      <c r="K12" s="3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5"/>
  <sheetViews>
    <sheetView topLeftCell="A2" workbookViewId="0">
      <selection activeCell="J17" sqref="J17"/>
    </sheetView>
  </sheetViews>
  <sheetFormatPr defaultColWidth="9" defaultRowHeight="14.4"/>
  <sheetData>
    <row r="1" spans="1:15" ht="17.399999999999999">
      <c r="A1" s="7" t="s">
        <v>1335</v>
      </c>
    </row>
    <row r="2" spans="1:15" ht="86.4">
      <c r="A2" s="35"/>
      <c r="B2" s="23" t="s">
        <v>1328</v>
      </c>
      <c r="C2" s="23" t="s">
        <v>1336</v>
      </c>
      <c r="D2" s="23" t="s">
        <v>1330</v>
      </c>
      <c r="E2" s="321" t="s">
        <v>1331</v>
      </c>
      <c r="F2" s="322"/>
      <c r="G2" s="323"/>
      <c r="H2" s="321" t="s">
        <v>1337</v>
      </c>
      <c r="I2" s="322"/>
      <c r="J2" s="323"/>
      <c r="K2" s="23" t="s">
        <v>1334</v>
      </c>
      <c r="L2" s="23" t="s">
        <v>105</v>
      </c>
      <c r="M2" s="23" t="s">
        <v>123</v>
      </c>
      <c r="N2" s="23" t="s">
        <v>107</v>
      </c>
      <c r="O2" s="23" t="s">
        <v>79</v>
      </c>
    </row>
    <row r="3" spans="1:15" ht="43.2">
      <c r="A3" s="90"/>
      <c r="B3" s="25"/>
      <c r="C3" s="25"/>
      <c r="D3" s="25"/>
      <c r="E3" s="25" t="s">
        <v>1338</v>
      </c>
      <c r="F3" s="25" t="s">
        <v>1339</v>
      </c>
      <c r="G3" s="25" t="s">
        <v>1340</v>
      </c>
      <c r="H3" s="25" t="s">
        <v>1341</v>
      </c>
      <c r="I3" s="25" t="s">
        <v>1339</v>
      </c>
      <c r="J3" s="25" t="s">
        <v>1342</v>
      </c>
      <c r="K3" s="25"/>
      <c r="L3" s="25"/>
      <c r="M3" s="25"/>
      <c r="N3" s="25"/>
      <c r="O3" s="25"/>
    </row>
    <row r="4" spans="1:15">
      <c r="A4" s="24">
        <v>1</v>
      </c>
      <c r="B4" s="57" t="s">
        <v>84</v>
      </c>
      <c r="C4" s="57" t="s">
        <v>84</v>
      </c>
      <c r="D4" s="57" t="s">
        <v>84</v>
      </c>
      <c r="E4" s="57" t="s">
        <v>84</v>
      </c>
      <c r="F4" s="57" t="s">
        <v>84</v>
      </c>
      <c r="G4" s="57" t="s">
        <v>84</v>
      </c>
      <c r="H4" s="57" t="s">
        <v>84</v>
      </c>
      <c r="I4" s="57" t="s">
        <v>84</v>
      </c>
      <c r="J4" s="57" t="s">
        <v>84</v>
      </c>
      <c r="K4" s="57" t="s">
        <v>84</v>
      </c>
      <c r="L4" s="57" t="s">
        <v>84</v>
      </c>
      <c r="M4" s="57" t="s">
        <v>84</v>
      </c>
      <c r="N4" s="57" t="s">
        <v>84</v>
      </c>
      <c r="O4" s="57" t="s">
        <v>84</v>
      </c>
    </row>
    <row r="5" spans="1:15">
      <c r="A5" s="24">
        <v>2</v>
      </c>
      <c r="B5" s="34"/>
      <c r="C5" s="34"/>
      <c r="D5" s="34"/>
      <c r="E5" s="34"/>
      <c r="F5" s="34"/>
      <c r="G5" s="34"/>
      <c r="H5" s="34"/>
      <c r="I5" s="34"/>
      <c r="J5" s="34"/>
      <c r="K5" s="34"/>
      <c r="L5" s="34"/>
      <c r="M5" s="34"/>
      <c r="N5" s="34"/>
      <c r="O5" s="34"/>
    </row>
    <row r="6" spans="1:15">
      <c r="A6" s="24">
        <v>3</v>
      </c>
      <c r="B6" s="34"/>
      <c r="C6" s="34"/>
      <c r="D6" s="34"/>
      <c r="E6" s="34"/>
      <c r="F6" s="34"/>
      <c r="G6" s="34"/>
      <c r="H6" s="34"/>
      <c r="I6" s="34"/>
      <c r="J6" s="34"/>
      <c r="K6" s="34"/>
      <c r="L6" s="34"/>
      <c r="M6" s="34"/>
      <c r="N6" s="34"/>
      <c r="O6" s="34"/>
    </row>
    <row r="7" spans="1:15">
      <c r="A7" s="24">
        <v>4</v>
      </c>
      <c r="B7" s="28"/>
      <c r="C7" s="28"/>
      <c r="D7" s="28"/>
      <c r="E7" s="28"/>
      <c r="F7" s="28"/>
      <c r="G7" s="28"/>
      <c r="H7" s="28"/>
      <c r="I7" s="28"/>
      <c r="J7" s="28"/>
      <c r="K7" s="28"/>
      <c r="L7" s="28"/>
      <c r="M7" s="28"/>
      <c r="N7" s="28"/>
      <c r="O7" s="28"/>
    </row>
    <row r="8" spans="1:15">
      <c r="A8" s="24">
        <v>5</v>
      </c>
      <c r="B8" s="28"/>
      <c r="C8" s="28"/>
      <c r="D8" s="28"/>
      <c r="E8" s="28"/>
      <c r="F8" s="28"/>
      <c r="G8" s="28"/>
      <c r="H8" s="28"/>
      <c r="I8" s="28"/>
      <c r="J8" s="28"/>
      <c r="K8" s="28"/>
      <c r="L8" s="28"/>
      <c r="M8" s="28"/>
      <c r="N8" s="28"/>
      <c r="O8" s="28"/>
    </row>
    <row r="9" spans="1:15">
      <c r="A9" s="24">
        <v>6</v>
      </c>
      <c r="B9" s="28"/>
      <c r="C9" s="28"/>
      <c r="D9" s="28"/>
      <c r="E9" s="28"/>
      <c r="F9" s="28"/>
      <c r="G9" s="28"/>
      <c r="H9" s="28"/>
      <c r="I9" s="28"/>
      <c r="J9" s="28"/>
      <c r="K9" s="28"/>
      <c r="L9" s="28"/>
      <c r="M9" s="28"/>
      <c r="N9" s="28"/>
      <c r="O9" s="28"/>
    </row>
    <row r="10" spans="1:15">
      <c r="A10" s="21"/>
    </row>
    <row r="11" spans="1:15">
      <c r="A11" s="21"/>
    </row>
    <row r="12" spans="1:15" s="1" customFormat="1" ht="15.6">
      <c r="A12" s="5" t="s">
        <v>1837</v>
      </c>
      <c r="E12" s="5"/>
      <c r="L12" s="6"/>
    </row>
    <row r="13" spans="1:15" s="1" customFormat="1" ht="15.6">
      <c r="A13" s="5" t="s">
        <v>1838</v>
      </c>
      <c r="C13" s="5"/>
    </row>
    <row r="14" spans="1:15" s="1" customFormat="1" ht="15.6">
      <c r="A14" s="5" t="s">
        <v>1839</v>
      </c>
      <c r="C14" s="5"/>
    </row>
    <row r="15" spans="1:15" ht="15.6">
      <c r="A15" s="39"/>
      <c r="B15" s="39"/>
      <c r="C15" s="39"/>
      <c r="D15" s="39"/>
      <c r="E15" s="39"/>
      <c r="F15" s="39"/>
      <c r="G15" s="39"/>
      <c r="H15" s="39"/>
      <c r="I15" s="39"/>
      <c r="J15" s="39"/>
    </row>
  </sheetData>
  <mergeCells count="2">
    <mergeCell ref="E2:G2"/>
    <mergeCell ref="H2:J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6"/>
  <sheetViews>
    <sheetView topLeftCell="A2" workbookViewId="0">
      <selection activeCell="A14" sqref="A14:XFD16"/>
    </sheetView>
  </sheetViews>
  <sheetFormatPr defaultColWidth="9" defaultRowHeight="14.4"/>
  <sheetData>
    <row r="1" spans="1:12" ht="17.399999999999999">
      <c r="A1" s="7" t="s">
        <v>1343</v>
      </c>
    </row>
    <row r="2" spans="1:12" ht="72">
      <c r="A2" s="74"/>
      <c r="B2" s="59" t="s">
        <v>1344</v>
      </c>
      <c r="C2" s="23" t="s">
        <v>1345</v>
      </c>
      <c r="D2" s="23" t="s">
        <v>1346</v>
      </c>
      <c r="E2" s="23" t="s">
        <v>1347</v>
      </c>
      <c r="F2" s="23" t="s">
        <v>1348</v>
      </c>
      <c r="G2" s="23" t="s">
        <v>1349</v>
      </c>
      <c r="H2" s="23" t="s">
        <v>1350</v>
      </c>
      <c r="I2" s="23" t="s">
        <v>1351</v>
      </c>
      <c r="J2" s="23" t="s">
        <v>1352</v>
      </c>
    </row>
    <row r="3" spans="1:12">
      <c r="A3" s="26">
        <v>1</v>
      </c>
      <c r="B3" s="27" t="s">
        <v>84</v>
      </c>
      <c r="C3" s="57" t="s">
        <v>84</v>
      </c>
      <c r="D3" s="57" t="s">
        <v>84</v>
      </c>
      <c r="E3" s="57" t="s">
        <v>84</v>
      </c>
      <c r="F3" s="57" t="s">
        <v>84</v>
      </c>
      <c r="G3" s="57" t="s">
        <v>84</v>
      </c>
      <c r="H3" s="57" t="s">
        <v>84</v>
      </c>
      <c r="I3" s="57" t="s">
        <v>84</v>
      </c>
      <c r="J3" s="57" t="s">
        <v>84</v>
      </c>
    </row>
    <row r="4" spans="1:12">
      <c r="A4" s="24">
        <v>2</v>
      </c>
      <c r="B4" s="34"/>
      <c r="C4" s="34"/>
      <c r="D4" s="34"/>
      <c r="E4" s="34"/>
      <c r="F4" s="34"/>
      <c r="G4" s="34"/>
      <c r="H4" s="34"/>
      <c r="I4" s="34"/>
      <c r="J4" s="28"/>
    </row>
    <row r="5" spans="1:12">
      <c r="A5" s="24">
        <v>3</v>
      </c>
      <c r="B5" s="34"/>
      <c r="C5" s="34"/>
      <c r="D5" s="34"/>
      <c r="E5" s="34"/>
      <c r="F5" s="34"/>
      <c r="G5" s="34"/>
      <c r="H5" s="34"/>
      <c r="I5" s="34"/>
      <c r="J5" s="28"/>
    </row>
    <row r="6" spans="1:12">
      <c r="A6" s="24">
        <v>4</v>
      </c>
      <c r="B6" s="34"/>
      <c r="C6" s="28"/>
      <c r="D6" s="28"/>
      <c r="E6" s="28"/>
      <c r="F6" s="28"/>
      <c r="G6" s="28"/>
      <c r="H6" s="28"/>
      <c r="I6" s="28"/>
      <c r="J6" s="28"/>
    </row>
    <row r="7" spans="1:12">
      <c r="A7" s="24">
        <v>5</v>
      </c>
      <c r="B7" s="34"/>
      <c r="C7" s="28"/>
      <c r="D7" s="28"/>
      <c r="E7" s="28"/>
      <c r="F7" s="28"/>
      <c r="G7" s="28"/>
      <c r="H7" s="28"/>
      <c r="I7" s="28"/>
      <c r="J7" s="28"/>
    </row>
    <row r="8" spans="1:12">
      <c r="A8" s="24">
        <v>6</v>
      </c>
      <c r="B8" s="34"/>
      <c r="C8" s="28"/>
      <c r="D8" s="28"/>
      <c r="E8" s="28"/>
      <c r="F8" s="28"/>
      <c r="G8" s="28"/>
      <c r="H8" s="28"/>
      <c r="I8" s="28"/>
      <c r="J8" s="28"/>
    </row>
    <row r="9" spans="1:12">
      <c r="A9" s="24">
        <v>7</v>
      </c>
      <c r="B9" s="34"/>
      <c r="C9" s="28"/>
      <c r="D9" s="28"/>
      <c r="E9" s="28"/>
      <c r="F9" s="28"/>
      <c r="G9" s="28"/>
      <c r="H9" s="28"/>
      <c r="I9" s="28"/>
      <c r="J9" s="28"/>
    </row>
    <row r="10" spans="1:12">
      <c r="A10" s="24">
        <v>8</v>
      </c>
      <c r="B10" s="34"/>
      <c r="C10" s="28"/>
      <c r="D10" s="28"/>
      <c r="E10" s="28"/>
      <c r="F10" s="28"/>
      <c r="G10" s="28"/>
      <c r="H10" s="28"/>
      <c r="I10" s="28"/>
      <c r="J10" s="28"/>
    </row>
    <row r="11" spans="1:12">
      <c r="A11" s="24">
        <v>9</v>
      </c>
      <c r="B11" s="34"/>
      <c r="C11" s="28"/>
      <c r="D11" s="28"/>
      <c r="E11" s="28"/>
      <c r="F11" s="28"/>
      <c r="G11" s="28"/>
      <c r="H11" s="28"/>
      <c r="I11" s="28"/>
      <c r="J11" s="28"/>
    </row>
    <row r="12" spans="1:12">
      <c r="A12" s="24">
        <v>10</v>
      </c>
      <c r="B12" s="34"/>
      <c r="C12" s="28"/>
      <c r="D12" s="28"/>
      <c r="E12" s="28"/>
      <c r="F12" s="28"/>
      <c r="G12" s="28"/>
      <c r="H12" s="28"/>
      <c r="I12" s="28"/>
      <c r="J12" s="28"/>
    </row>
    <row r="13" spans="1:12" ht="14.25" customHeight="1">
      <c r="A13" s="21"/>
    </row>
    <row r="14" spans="1:12" s="1" customFormat="1" ht="15.6">
      <c r="A14" s="5" t="s">
        <v>1837</v>
      </c>
      <c r="E14" s="5"/>
      <c r="L14" s="6"/>
    </row>
    <row r="15" spans="1:12" s="1" customFormat="1" ht="15.6">
      <c r="A15" s="5" t="s">
        <v>1838</v>
      </c>
      <c r="C15" s="5"/>
    </row>
    <row r="16" spans="1:12" s="1" customFormat="1" ht="15.6">
      <c r="A16" s="5" t="s">
        <v>1839</v>
      </c>
      <c r="C16" s="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6"/>
  <sheetViews>
    <sheetView topLeftCell="A2" workbookViewId="0">
      <selection activeCell="A14" sqref="A14:XFD16"/>
    </sheetView>
  </sheetViews>
  <sheetFormatPr defaultColWidth="9" defaultRowHeight="14.4"/>
  <sheetData>
    <row r="1" spans="1:13" ht="17.399999999999999">
      <c r="A1" s="7" t="s">
        <v>1353</v>
      </c>
    </row>
    <row r="2" spans="1:13" ht="86.4">
      <c r="A2" s="74"/>
      <c r="B2" s="23" t="s">
        <v>1345</v>
      </c>
      <c r="C2" s="23" t="s">
        <v>1346</v>
      </c>
      <c r="D2" s="23" t="s">
        <v>1347</v>
      </c>
      <c r="E2" s="23" t="s">
        <v>1348</v>
      </c>
      <c r="F2" s="23" t="s">
        <v>1354</v>
      </c>
      <c r="G2" s="23" t="s">
        <v>1349</v>
      </c>
      <c r="H2" s="23" t="s">
        <v>1355</v>
      </c>
      <c r="I2" s="23" t="s">
        <v>1356</v>
      </c>
      <c r="J2" s="23" t="s">
        <v>1357</v>
      </c>
      <c r="K2" s="23" t="s">
        <v>1358</v>
      </c>
      <c r="L2" s="23" t="s">
        <v>1359</v>
      </c>
      <c r="M2" s="23" t="s">
        <v>1360</v>
      </c>
    </row>
    <row r="3" spans="1:13">
      <c r="A3" s="26">
        <v>1</v>
      </c>
      <c r="B3" s="57" t="s">
        <v>84</v>
      </c>
      <c r="C3" s="57" t="s">
        <v>84</v>
      </c>
      <c r="D3" s="57" t="s">
        <v>84</v>
      </c>
      <c r="E3" s="57" t="s">
        <v>84</v>
      </c>
      <c r="F3" s="57" t="s">
        <v>84</v>
      </c>
      <c r="G3" s="57" t="s">
        <v>84</v>
      </c>
      <c r="H3" s="57" t="s">
        <v>84</v>
      </c>
      <c r="I3" s="57" t="s">
        <v>84</v>
      </c>
      <c r="J3" s="57" t="s">
        <v>84</v>
      </c>
      <c r="K3" s="57" t="s">
        <v>84</v>
      </c>
      <c r="L3" s="57" t="s">
        <v>84</v>
      </c>
      <c r="M3" s="57" t="s">
        <v>84</v>
      </c>
    </row>
    <row r="4" spans="1:13">
      <c r="A4" s="24">
        <v>2</v>
      </c>
      <c r="B4" s="34"/>
      <c r="C4" s="34"/>
      <c r="D4" s="34"/>
      <c r="E4" s="34"/>
      <c r="F4" s="34"/>
      <c r="G4" s="34"/>
      <c r="H4" s="34"/>
      <c r="I4" s="34"/>
      <c r="J4" s="34"/>
      <c r="K4" s="34"/>
      <c r="L4" s="34"/>
      <c r="M4" s="28"/>
    </row>
    <row r="5" spans="1:13">
      <c r="A5" s="24">
        <v>3</v>
      </c>
      <c r="B5" s="34"/>
      <c r="C5" s="34"/>
      <c r="D5" s="34"/>
      <c r="E5" s="34"/>
      <c r="F5" s="34"/>
      <c r="G5" s="34"/>
      <c r="H5" s="34"/>
      <c r="I5" s="34"/>
      <c r="J5" s="34"/>
      <c r="K5" s="34"/>
      <c r="L5" s="34"/>
      <c r="M5" s="28"/>
    </row>
    <row r="6" spans="1:13">
      <c r="A6" s="24">
        <v>4</v>
      </c>
      <c r="B6" s="28"/>
      <c r="C6" s="28"/>
      <c r="D6" s="28"/>
      <c r="E6" s="28"/>
      <c r="F6" s="28"/>
      <c r="G6" s="28"/>
      <c r="H6" s="28"/>
      <c r="I6" s="28"/>
      <c r="J6" s="28"/>
      <c r="K6" s="28"/>
      <c r="L6" s="28"/>
      <c r="M6" s="28"/>
    </row>
    <row r="7" spans="1:13">
      <c r="A7" s="24">
        <v>5</v>
      </c>
      <c r="B7" s="28"/>
      <c r="C7" s="28"/>
      <c r="D7" s="28"/>
      <c r="E7" s="28"/>
      <c r="F7" s="28"/>
      <c r="G7" s="28"/>
      <c r="H7" s="28"/>
      <c r="I7" s="28"/>
      <c r="J7" s="28"/>
      <c r="K7" s="28"/>
      <c r="L7" s="28"/>
      <c r="M7" s="28"/>
    </row>
    <row r="8" spans="1:13">
      <c r="A8" s="24">
        <v>6</v>
      </c>
      <c r="B8" s="28"/>
      <c r="C8" s="28"/>
      <c r="D8" s="28"/>
      <c r="E8" s="28"/>
      <c r="F8" s="28"/>
      <c r="G8" s="28"/>
      <c r="H8" s="28"/>
      <c r="I8" s="28"/>
      <c r="J8" s="28"/>
      <c r="K8" s="28"/>
      <c r="L8" s="28"/>
      <c r="M8" s="28"/>
    </row>
    <row r="9" spans="1:13">
      <c r="A9" s="24">
        <v>7</v>
      </c>
      <c r="B9" s="28"/>
      <c r="C9" s="28"/>
      <c r="D9" s="28"/>
      <c r="E9" s="28"/>
      <c r="F9" s="28"/>
      <c r="G9" s="28"/>
      <c r="H9" s="28"/>
      <c r="I9" s="28"/>
      <c r="J9" s="28"/>
      <c r="K9" s="28"/>
      <c r="L9" s="28"/>
      <c r="M9" s="28"/>
    </row>
    <row r="10" spans="1:13">
      <c r="A10" s="24">
        <v>8</v>
      </c>
      <c r="B10" s="28"/>
      <c r="C10" s="28"/>
      <c r="D10" s="28"/>
      <c r="E10" s="28"/>
      <c r="F10" s="28"/>
      <c r="G10" s="28"/>
      <c r="H10" s="28"/>
      <c r="I10" s="28"/>
      <c r="J10" s="28"/>
      <c r="K10" s="28"/>
      <c r="L10" s="28"/>
      <c r="M10" s="28"/>
    </row>
    <row r="11" spans="1:13">
      <c r="A11" s="24">
        <v>9</v>
      </c>
      <c r="B11" s="28"/>
      <c r="C11" s="28"/>
      <c r="D11" s="28"/>
      <c r="E11" s="28"/>
      <c r="F11" s="28"/>
      <c r="G11" s="28"/>
      <c r="H11" s="28"/>
      <c r="I11" s="28"/>
      <c r="J11" s="28"/>
      <c r="K11" s="28"/>
      <c r="L11" s="28"/>
      <c r="M11" s="28"/>
    </row>
    <row r="12" spans="1:13">
      <c r="A12" s="21"/>
    </row>
    <row r="13" spans="1:13">
      <c r="A13" s="21"/>
    </row>
    <row r="14" spans="1:13" s="1" customFormat="1" ht="15.6">
      <c r="A14" s="5" t="s">
        <v>1837</v>
      </c>
      <c r="E14" s="5"/>
      <c r="L14" s="6"/>
    </row>
    <row r="15" spans="1:13" s="1" customFormat="1" ht="15.6">
      <c r="A15" s="5" t="s">
        <v>1838</v>
      </c>
      <c r="C15" s="5"/>
    </row>
    <row r="16" spans="1:13" s="1" customFormat="1" ht="15.6">
      <c r="A16" s="5" t="s">
        <v>1839</v>
      </c>
      <c r="C16" s="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topLeftCell="A2" workbookViewId="0">
      <selection activeCell="N16" sqref="N16"/>
    </sheetView>
  </sheetViews>
  <sheetFormatPr defaultColWidth="9" defaultRowHeight="14.4"/>
  <sheetData>
    <row r="1" spans="1:16" ht="17.399999999999999">
      <c r="A1" s="7" t="s">
        <v>1361</v>
      </c>
    </row>
    <row r="2" spans="1:16" ht="144">
      <c r="A2" s="35"/>
      <c r="B2" s="23" t="s">
        <v>1362</v>
      </c>
      <c r="C2" s="23" t="s">
        <v>1363</v>
      </c>
      <c r="D2" s="23" t="s">
        <v>1263</v>
      </c>
      <c r="E2" s="23" t="s">
        <v>96</v>
      </c>
      <c r="F2" s="23" t="s">
        <v>1364</v>
      </c>
      <c r="G2" s="23" t="s">
        <v>1365</v>
      </c>
      <c r="H2" s="23" t="s">
        <v>1366</v>
      </c>
      <c r="I2" s="23" t="s">
        <v>1367</v>
      </c>
      <c r="J2" s="59" t="s">
        <v>1331</v>
      </c>
      <c r="K2" s="59" t="s">
        <v>1368</v>
      </c>
      <c r="L2" s="23" t="s">
        <v>1369</v>
      </c>
      <c r="M2" s="23" t="s">
        <v>1370</v>
      </c>
      <c r="N2" s="23" t="s">
        <v>1371</v>
      </c>
      <c r="O2" s="23" t="s">
        <v>1372</v>
      </c>
      <c r="P2" s="23" t="s">
        <v>79</v>
      </c>
    </row>
    <row r="3" spans="1:16">
      <c r="A3" s="24">
        <v>1</v>
      </c>
      <c r="B3" s="57" t="s">
        <v>84</v>
      </c>
      <c r="C3" s="57" t="s">
        <v>84</v>
      </c>
      <c r="D3" s="57" t="s">
        <v>84</v>
      </c>
      <c r="E3" s="57" t="s">
        <v>84</v>
      </c>
      <c r="F3" s="57" t="s">
        <v>84</v>
      </c>
      <c r="G3" s="57" t="s">
        <v>84</v>
      </c>
      <c r="H3" s="57" t="s">
        <v>84</v>
      </c>
      <c r="I3" s="57" t="s">
        <v>84</v>
      </c>
      <c r="J3" s="57" t="s">
        <v>84</v>
      </c>
      <c r="K3" s="57" t="s">
        <v>84</v>
      </c>
      <c r="L3" s="57" t="s">
        <v>84</v>
      </c>
      <c r="M3" s="57" t="s">
        <v>84</v>
      </c>
      <c r="N3" s="57" t="s">
        <v>84</v>
      </c>
      <c r="O3" s="57" t="s">
        <v>84</v>
      </c>
      <c r="P3" s="57" t="s">
        <v>84</v>
      </c>
    </row>
    <row r="4" spans="1:16">
      <c r="A4" s="24">
        <v>2</v>
      </c>
      <c r="B4" s="34"/>
      <c r="C4" s="34"/>
      <c r="D4" s="34"/>
      <c r="E4" s="34"/>
      <c r="F4" s="34"/>
      <c r="G4" s="34"/>
      <c r="H4" s="34"/>
      <c r="I4" s="34"/>
      <c r="J4" s="34"/>
      <c r="K4" s="34"/>
      <c r="L4" s="34"/>
      <c r="M4" s="28"/>
      <c r="N4" s="28"/>
      <c r="O4" s="28"/>
      <c r="P4" s="28"/>
    </row>
    <row r="5" spans="1:16">
      <c r="A5" s="24">
        <v>3</v>
      </c>
      <c r="B5" s="34"/>
      <c r="C5" s="34"/>
      <c r="D5" s="34"/>
      <c r="E5" s="34"/>
      <c r="F5" s="34"/>
      <c r="G5" s="34"/>
      <c r="H5" s="34"/>
      <c r="I5" s="34"/>
      <c r="J5" s="34"/>
      <c r="K5" s="34"/>
      <c r="L5" s="34"/>
      <c r="M5" s="28"/>
      <c r="N5" s="28"/>
      <c r="O5" s="28"/>
      <c r="P5" s="28"/>
    </row>
    <row r="6" spans="1:16">
      <c r="A6" s="24">
        <v>4</v>
      </c>
      <c r="B6" s="34"/>
      <c r="C6" s="34"/>
      <c r="D6" s="34"/>
      <c r="E6" s="34"/>
      <c r="F6" s="34"/>
      <c r="G6" s="34"/>
      <c r="H6" s="34"/>
      <c r="I6" s="34"/>
      <c r="J6" s="34"/>
      <c r="K6" s="34"/>
      <c r="L6" s="34"/>
      <c r="M6" s="28"/>
      <c r="N6" s="28"/>
      <c r="O6" s="28"/>
      <c r="P6" s="28"/>
    </row>
    <row r="7" spans="1:16">
      <c r="A7" s="24">
        <v>5</v>
      </c>
      <c r="B7" s="34"/>
      <c r="C7" s="34"/>
      <c r="D7" s="34"/>
      <c r="E7" s="34"/>
      <c r="F7" s="34"/>
      <c r="G7" s="34"/>
      <c r="H7" s="34"/>
      <c r="I7" s="34"/>
      <c r="J7" s="34"/>
      <c r="K7" s="34"/>
      <c r="L7" s="34"/>
      <c r="M7" s="28"/>
      <c r="N7" s="28"/>
      <c r="O7" s="28"/>
      <c r="P7" s="28"/>
    </row>
    <row r="8" spans="1:16">
      <c r="A8" s="24">
        <v>6</v>
      </c>
      <c r="B8" s="34"/>
      <c r="C8" s="34"/>
      <c r="D8" s="34"/>
      <c r="E8" s="34"/>
      <c r="F8" s="34"/>
      <c r="G8" s="34"/>
      <c r="H8" s="34"/>
      <c r="I8" s="34"/>
      <c r="J8" s="34"/>
      <c r="K8" s="34"/>
      <c r="L8" s="34"/>
      <c r="M8" s="28"/>
      <c r="N8" s="28"/>
      <c r="O8" s="28"/>
      <c r="P8" s="28"/>
    </row>
    <row r="9" spans="1:16">
      <c r="A9" s="21"/>
    </row>
    <row r="10" spans="1:16">
      <c r="A10" s="21"/>
    </row>
    <row r="11" spans="1:16" s="1" customFormat="1" ht="15.6">
      <c r="A11" s="5" t="s">
        <v>1837</v>
      </c>
      <c r="E11" s="5"/>
      <c r="L11" s="6"/>
    </row>
    <row r="12" spans="1:16" s="1" customFormat="1" ht="15.6">
      <c r="A12" s="5" t="s">
        <v>1838</v>
      </c>
      <c r="C12" s="5"/>
    </row>
    <row r="13" spans="1:16" s="1" customFormat="1" ht="15.6">
      <c r="A13" s="5" t="s">
        <v>1839</v>
      </c>
      <c r="C13" s="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workbookViewId="0">
      <selection activeCell="A11" sqref="A11:XFD13"/>
    </sheetView>
  </sheetViews>
  <sheetFormatPr defaultColWidth="9" defaultRowHeight="14.4"/>
  <cols>
    <col min="1" max="1" width="10.5546875" customWidth="1"/>
    <col min="2" max="2" width="10.88671875" customWidth="1"/>
    <col min="5" max="5" width="11.88671875" customWidth="1"/>
    <col min="7" max="7" width="10.6640625" customWidth="1"/>
  </cols>
  <sheetData>
    <row r="1" spans="1:11" ht="17.399999999999999">
      <c r="A1" s="7" t="s">
        <v>1373</v>
      </c>
    </row>
    <row r="2" spans="1:11" ht="43.2">
      <c r="A2" s="35"/>
      <c r="B2" s="23" t="s">
        <v>1374</v>
      </c>
      <c r="C2" s="23" t="s">
        <v>1375</v>
      </c>
      <c r="D2" s="23" t="s">
        <v>1376</v>
      </c>
      <c r="E2" s="23" t="s">
        <v>126</v>
      </c>
      <c r="F2" s="23" t="s">
        <v>1377</v>
      </c>
      <c r="G2" s="23" t="s">
        <v>1378</v>
      </c>
    </row>
    <row r="3" spans="1:11" ht="28.8">
      <c r="A3" s="24">
        <v>1</v>
      </c>
      <c r="B3" s="57" t="s">
        <v>84</v>
      </c>
      <c r="C3" s="57" t="s">
        <v>84</v>
      </c>
      <c r="D3" s="57" t="s">
        <v>84</v>
      </c>
      <c r="E3" s="57" t="s">
        <v>84</v>
      </c>
      <c r="F3" s="57" t="s">
        <v>84</v>
      </c>
      <c r="G3" s="57" t="s">
        <v>1379</v>
      </c>
    </row>
    <row r="4" spans="1:11">
      <c r="A4" s="24">
        <v>2</v>
      </c>
      <c r="B4" s="34"/>
      <c r="C4" s="34"/>
      <c r="D4" s="34"/>
      <c r="E4" s="34"/>
      <c r="F4" s="34"/>
      <c r="G4" s="34"/>
    </row>
    <row r="5" spans="1:11">
      <c r="A5" s="24">
        <v>3</v>
      </c>
      <c r="B5" s="34"/>
      <c r="C5" s="34"/>
      <c r="D5" s="34"/>
      <c r="E5" s="34"/>
      <c r="F5" s="34"/>
      <c r="G5" s="34"/>
    </row>
    <row r="6" spans="1:11">
      <c r="A6" s="24">
        <v>4</v>
      </c>
      <c r="B6" s="34"/>
      <c r="C6" s="34"/>
      <c r="D6" s="34"/>
      <c r="E6" s="34"/>
      <c r="F6" s="34"/>
      <c r="G6" s="34"/>
    </row>
    <row r="7" spans="1:11">
      <c r="A7" s="24">
        <v>5</v>
      </c>
      <c r="B7" s="34"/>
      <c r="C7" s="34"/>
      <c r="D7" s="34"/>
      <c r="E7" s="34"/>
      <c r="F7" s="34"/>
      <c r="G7" s="34"/>
    </row>
    <row r="8" spans="1:11">
      <c r="A8" s="24">
        <v>6</v>
      </c>
      <c r="B8" s="34"/>
      <c r="C8" s="34"/>
      <c r="D8" s="34"/>
      <c r="E8" s="34"/>
      <c r="F8" s="34"/>
      <c r="G8" s="34"/>
    </row>
    <row r="9" spans="1:11">
      <c r="A9" s="21"/>
    </row>
    <row r="10" spans="1:11">
      <c r="A10" s="21"/>
    </row>
    <row r="11" spans="1:11" ht="18" customHeight="1">
      <c r="A11" s="66" t="s">
        <v>1862</v>
      </c>
      <c r="B11" s="67"/>
      <c r="C11" s="67"/>
      <c r="D11" s="67"/>
      <c r="E11" s="66"/>
      <c r="F11" s="67"/>
      <c r="G11" s="67"/>
      <c r="H11" s="67"/>
      <c r="I11" s="67"/>
      <c r="J11" s="67"/>
      <c r="K11" s="36"/>
    </row>
    <row r="12" spans="1:11" ht="24" customHeight="1">
      <c r="A12" s="66" t="s">
        <v>1863</v>
      </c>
      <c r="B12" s="67"/>
      <c r="C12" s="66"/>
      <c r="D12" s="67"/>
      <c r="E12" s="67"/>
      <c r="F12" s="67"/>
      <c r="G12" s="67"/>
      <c r="H12" s="67"/>
      <c r="I12" s="67"/>
      <c r="J12" s="67"/>
      <c r="K12" s="36"/>
    </row>
    <row r="13" spans="1:11" ht="21.75" customHeight="1">
      <c r="A13" s="66" t="s">
        <v>1864</v>
      </c>
      <c r="B13" s="67"/>
      <c r="C13" s="66"/>
      <c r="D13" s="67"/>
      <c r="E13" s="67"/>
      <c r="F13" s="67"/>
      <c r="G13" s="67"/>
      <c r="H13" s="67"/>
      <c r="I13" s="67"/>
      <c r="J13" s="67"/>
      <c r="K13" s="3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topLeftCell="A6" workbookViewId="0">
      <selection activeCell="E21" sqref="E21"/>
    </sheetView>
  </sheetViews>
  <sheetFormatPr defaultColWidth="9" defaultRowHeight="14.4"/>
  <cols>
    <col min="1" max="1" width="9" style="36"/>
    <col min="2" max="2" width="22.109375" style="36" customWidth="1"/>
    <col min="3" max="3" width="23" style="36" customWidth="1"/>
    <col min="4" max="4" width="21.44140625" style="36" customWidth="1"/>
    <col min="5" max="5" width="26.44140625" style="36" customWidth="1"/>
    <col min="6" max="6" width="20.44140625" style="36" customWidth="1"/>
    <col min="7" max="7" width="19.44140625" style="36" customWidth="1"/>
    <col min="8" max="8" width="18.33203125" style="36" customWidth="1"/>
    <col min="9" max="9" width="12.5546875" style="36" customWidth="1"/>
    <col min="10" max="10" width="9" style="36" customWidth="1"/>
    <col min="11" max="16384" width="9" style="36"/>
  </cols>
  <sheetData>
    <row r="1" spans="1:11" ht="17.399999999999999">
      <c r="A1" s="86" t="s">
        <v>1380</v>
      </c>
      <c r="B1" s="87"/>
    </row>
    <row r="2" spans="1:11" customFormat="1" ht="28.8">
      <c r="A2" s="35"/>
      <c r="B2" s="23" t="s">
        <v>1381</v>
      </c>
      <c r="C2" s="23" t="s">
        <v>1382</v>
      </c>
      <c r="D2" s="23" t="s">
        <v>1375</v>
      </c>
      <c r="E2" s="23" t="s">
        <v>1383</v>
      </c>
      <c r="F2" s="23" t="s">
        <v>1384</v>
      </c>
      <c r="G2" s="23" t="s">
        <v>1376</v>
      </c>
      <c r="H2" s="23" t="s">
        <v>1385</v>
      </c>
      <c r="I2" s="23" t="s">
        <v>1377</v>
      </c>
      <c r="J2" s="23" t="s">
        <v>129</v>
      </c>
    </row>
    <row r="3" spans="1:11" customFormat="1" ht="57.6">
      <c r="A3" s="24">
        <v>1</v>
      </c>
      <c r="B3" s="34" t="s">
        <v>1386</v>
      </c>
      <c r="C3" s="34" t="s">
        <v>1387</v>
      </c>
      <c r="D3" s="34" t="s">
        <v>1388</v>
      </c>
      <c r="E3" s="34" t="s">
        <v>1389</v>
      </c>
      <c r="F3" s="34" t="s">
        <v>1390</v>
      </c>
      <c r="G3" s="34" t="s">
        <v>1391</v>
      </c>
      <c r="H3" s="34" t="s">
        <v>1392</v>
      </c>
      <c r="I3" s="88">
        <v>1592283</v>
      </c>
      <c r="J3" s="34"/>
    </row>
    <row r="4" spans="1:11" customFormat="1" ht="57.6">
      <c r="A4" s="24">
        <v>2</v>
      </c>
      <c r="B4" s="34" t="s">
        <v>1386</v>
      </c>
      <c r="C4" s="34" t="s">
        <v>1393</v>
      </c>
      <c r="D4" s="34" t="s">
        <v>1388</v>
      </c>
      <c r="E4" s="34" t="s">
        <v>1394</v>
      </c>
      <c r="F4" s="34" t="s">
        <v>1390</v>
      </c>
      <c r="G4" s="34" t="s">
        <v>1395</v>
      </c>
      <c r="H4" s="34" t="s">
        <v>1392</v>
      </c>
      <c r="I4" s="88">
        <v>120463</v>
      </c>
      <c r="J4" s="34"/>
    </row>
    <row r="5" spans="1:11" customFormat="1" ht="57.6">
      <c r="A5" s="24">
        <v>3</v>
      </c>
      <c r="B5" s="34" t="s">
        <v>1386</v>
      </c>
      <c r="C5" s="34" t="s">
        <v>1396</v>
      </c>
      <c r="D5" s="34" t="s">
        <v>1388</v>
      </c>
      <c r="E5" s="34" t="s">
        <v>1397</v>
      </c>
      <c r="F5" s="34" t="s">
        <v>1390</v>
      </c>
      <c r="G5" s="34" t="s">
        <v>1398</v>
      </c>
      <c r="H5" s="34" t="s">
        <v>1392</v>
      </c>
      <c r="I5" s="88">
        <v>12119</v>
      </c>
      <c r="J5" s="34"/>
    </row>
    <row r="6" spans="1:11" customFormat="1" ht="57.6">
      <c r="A6" s="24">
        <v>4</v>
      </c>
      <c r="B6" s="34" t="s">
        <v>1386</v>
      </c>
      <c r="C6" s="34" t="s">
        <v>1399</v>
      </c>
      <c r="D6" s="34" t="s">
        <v>1388</v>
      </c>
      <c r="E6" s="34" t="s">
        <v>1400</v>
      </c>
      <c r="F6" s="34" t="s">
        <v>1401</v>
      </c>
      <c r="G6" s="34" t="s">
        <v>1391</v>
      </c>
      <c r="H6" s="34" t="s">
        <v>1392</v>
      </c>
      <c r="I6" s="88">
        <v>113456</v>
      </c>
      <c r="J6" s="34"/>
    </row>
    <row r="7" spans="1:11" customFormat="1" ht="57.6">
      <c r="A7" s="24">
        <v>5</v>
      </c>
      <c r="B7" s="34" t="s">
        <v>1386</v>
      </c>
      <c r="C7" s="34" t="s">
        <v>1402</v>
      </c>
      <c r="D7" s="34" t="s">
        <v>1388</v>
      </c>
      <c r="E7" s="34" t="s">
        <v>1400</v>
      </c>
      <c r="F7" s="34" t="s">
        <v>1403</v>
      </c>
      <c r="G7" s="34" t="s">
        <v>1391</v>
      </c>
      <c r="H7" s="34" t="s">
        <v>1392</v>
      </c>
      <c r="I7" s="88">
        <v>121610</v>
      </c>
      <c r="J7" s="34"/>
    </row>
    <row r="8" spans="1:11" customFormat="1">
      <c r="A8" s="24">
        <v>6</v>
      </c>
      <c r="B8" s="34"/>
      <c r="C8" s="34"/>
      <c r="D8" s="34"/>
      <c r="E8" s="34"/>
      <c r="F8" s="34"/>
      <c r="G8" s="34"/>
      <c r="H8" s="34"/>
      <c r="I8" s="89">
        <f>SUM(I3:I7)</f>
        <v>1959931</v>
      </c>
      <c r="J8" s="34"/>
    </row>
    <row r="9" spans="1:11" customFormat="1">
      <c r="A9" s="24">
        <v>7</v>
      </c>
      <c r="B9" s="34"/>
      <c r="C9" s="34"/>
      <c r="D9" s="34"/>
      <c r="E9" s="34"/>
      <c r="F9" s="34"/>
      <c r="G9" s="34"/>
      <c r="H9" s="34"/>
      <c r="I9" s="34"/>
      <c r="J9" s="34"/>
    </row>
    <row r="13" spans="1:11" customFormat="1" ht="18" customHeight="1">
      <c r="A13" s="66" t="s">
        <v>1862</v>
      </c>
      <c r="B13" s="67"/>
      <c r="C13" s="67"/>
      <c r="D13" s="67"/>
      <c r="E13" s="66"/>
      <c r="F13" s="67"/>
      <c r="G13" s="67"/>
      <c r="H13" s="67"/>
      <c r="I13" s="67"/>
      <c r="J13" s="67"/>
      <c r="K13" s="36"/>
    </row>
    <row r="14" spans="1:11" customFormat="1" ht="24" customHeight="1">
      <c r="A14" s="66" t="s">
        <v>1863</v>
      </c>
      <c r="B14" s="67"/>
      <c r="C14" s="66"/>
      <c r="D14" s="67"/>
      <c r="E14" s="67"/>
      <c r="F14" s="67"/>
      <c r="G14" s="67"/>
      <c r="H14" s="67"/>
      <c r="I14" s="67"/>
      <c r="J14" s="67"/>
      <c r="K14" s="36"/>
    </row>
    <row r="15" spans="1:11" customFormat="1" ht="21.75" customHeight="1">
      <c r="A15" s="66" t="s">
        <v>1864</v>
      </c>
      <c r="B15" s="67"/>
      <c r="C15" s="66"/>
      <c r="D15" s="67"/>
      <c r="E15" s="67"/>
      <c r="F15" s="67"/>
      <c r="G15" s="67"/>
      <c r="H15" s="67"/>
      <c r="I15" s="67"/>
      <c r="J15" s="67"/>
      <c r="K15" s="3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14"/>
  <sheetViews>
    <sheetView topLeftCell="A3" workbookViewId="0">
      <selection activeCell="D17" sqref="D17"/>
    </sheetView>
  </sheetViews>
  <sheetFormatPr defaultColWidth="9" defaultRowHeight="14.4"/>
  <sheetData>
    <row r="1" spans="1:19" ht="17.399999999999999">
      <c r="A1" s="7" t="s">
        <v>1404</v>
      </c>
    </row>
    <row r="2" spans="1:19" ht="187.2">
      <c r="A2" s="74"/>
      <c r="B2" s="23" t="s">
        <v>1405</v>
      </c>
      <c r="C2" s="23" t="s">
        <v>1406</v>
      </c>
      <c r="D2" s="23" t="s">
        <v>1407</v>
      </c>
      <c r="E2" s="23" t="s">
        <v>1365</v>
      </c>
      <c r="F2" s="23" t="s">
        <v>1408</v>
      </c>
      <c r="G2" s="23" t="s">
        <v>1409</v>
      </c>
      <c r="H2" s="23" t="s">
        <v>1410</v>
      </c>
      <c r="I2" s="23" t="s">
        <v>1411</v>
      </c>
      <c r="J2" s="23" t="s">
        <v>1412</v>
      </c>
      <c r="K2" s="23" t="s">
        <v>1413</v>
      </c>
      <c r="L2" s="23" t="s">
        <v>1414</v>
      </c>
      <c r="M2" s="23" t="s">
        <v>1415</v>
      </c>
      <c r="N2" s="23" t="s">
        <v>1416</v>
      </c>
      <c r="O2" s="23" t="s">
        <v>1417</v>
      </c>
      <c r="P2" s="23" t="s">
        <v>1418</v>
      </c>
      <c r="Q2" s="23" t="s">
        <v>1419</v>
      </c>
      <c r="R2" s="23" t="s">
        <v>1420</v>
      </c>
      <c r="S2" s="59" t="s">
        <v>1378</v>
      </c>
    </row>
    <row r="3" spans="1:19">
      <c r="A3" s="24">
        <v>1</v>
      </c>
      <c r="B3" s="57" t="s">
        <v>84</v>
      </c>
      <c r="C3" s="57" t="s">
        <v>84</v>
      </c>
      <c r="D3" s="57" t="s">
        <v>84</v>
      </c>
      <c r="E3" s="57" t="s">
        <v>84</v>
      </c>
      <c r="F3" s="57" t="s">
        <v>84</v>
      </c>
      <c r="G3" s="57" t="s">
        <v>84</v>
      </c>
      <c r="H3" s="57" t="s">
        <v>84</v>
      </c>
      <c r="I3" s="57" t="s">
        <v>84</v>
      </c>
      <c r="J3" s="57" t="s">
        <v>84</v>
      </c>
      <c r="K3" s="57" t="s">
        <v>84</v>
      </c>
      <c r="L3" s="57" t="s">
        <v>84</v>
      </c>
      <c r="M3" s="57" t="s">
        <v>84</v>
      </c>
      <c r="N3" s="57" t="s">
        <v>84</v>
      </c>
      <c r="O3" s="57" t="s">
        <v>84</v>
      </c>
      <c r="P3" s="57" t="s">
        <v>84</v>
      </c>
      <c r="Q3" s="57" t="s">
        <v>84</v>
      </c>
      <c r="R3" s="57" t="s">
        <v>84</v>
      </c>
      <c r="S3" s="57" t="s">
        <v>84</v>
      </c>
    </row>
    <row r="4" spans="1:19">
      <c r="A4" s="26">
        <v>2</v>
      </c>
      <c r="B4" s="28"/>
      <c r="C4" s="28"/>
      <c r="D4" s="28"/>
      <c r="E4" s="28"/>
      <c r="F4" s="28"/>
      <c r="G4" s="28"/>
      <c r="H4" s="28"/>
      <c r="I4" s="28"/>
      <c r="J4" s="28"/>
      <c r="K4" s="28"/>
      <c r="L4" s="28"/>
      <c r="M4" s="28"/>
      <c r="N4" s="28"/>
      <c r="O4" s="28"/>
      <c r="P4" s="28"/>
      <c r="Q4" s="28"/>
      <c r="R4" s="28"/>
      <c r="S4" s="28"/>
    </row>
    <row r="5" spans="1:19">
      <c r="A5" s="26">
        <v>3</v>
      </c>
      <c r="B5" s="28"/>
      <c r="C5" s="28"/>
      <c r="D5" s="28"/>
      <c r="E5" s="28"/>
      <c r="F5" s="28"/>
      <c r="G5" s="28"/>
      <c r="H5" s="28"/>
      <c r="I5" s="28"/>
      <c r="J5" s="28"/>
      <c r="K5" s="28"/>
      <c r="L5" s="28"/>
      <c r="M5" s="28"/>
      <c r="N5" s="28"/>
      <c r="O5" s="28"/>
      <c r="P5" s="28"/>
      <c r="Q5" s="28"/>
      <c r="R5" s="28"/>
      <c r="S5" s="28"/>
    </row>
    <row r="6" spans="1:19">
      <c r="A6" s="26">
        <v>4</v>
      </c>
      <c r="B6" s="28"/>
      <c r="C6" s="28"/>
      <c r="D6" s="28"/>
      <c r="E6" s="28"/>
      <c r="F6" s="28"/>
      <c r="G6" s="28"/>
      <c r="H6" s="28"/>
      <c r="I6" s="28"/>
      <c r="J6" s="28"/>
      <c r="K6" s="28"/>
      <c r="L6" s="28"/>
      <c r="M6" s="28"/>
      <c r="N6" s="28"/>
      <c r="O6" s="28"/>
      <c r="P6" s="28"/>
      <c r="Q6" s="28"/>
      <c r="R6" s="28"/>
      <c r="S6" s="28"/>
    </row>
    <row r="7" spans="1:19">
      <c r="A7" s="26">
        <v>5</v>
      </c>
      <c r="B7" s="28"/>
      <c r="C7" s="28"/>
      <c r="D7" s="28"/>
      <c r="E7" s="28"/>
      <c r="F7" s="28"/>
      <c r="G7" s="28"/>
      <c r="H7" s="28"/>
      <c r="I7" s="28"/>
      <c r="J7" s="28"/>
      <c r="K7" s="28"/>
      <c r="L7" s="28"/>
      <c r="M7" s="28"/>
      <c r="N7" s="28"/>
      <c r="O7" s="28"/>
      <c r="P7" s="28"/>
      <c r="Q7" s="28"/>
      <c r="R7" s="28"/>
      <c r="S7" s="28"/>
    </row>
    <row r="8" spans="1:19">
      <c r="A8" s="26">
        <v>6</v>
      </c>
      <c r="B8" s="34"/>
      <c r="C8" s="34"/>
      <c r="D8" s="34"/>
      <c r="E8" s="34"/>
      <c r="F8" s="34"/>
      <c r="G8" s="34"/>
      <c r="H8" s="34"/>
      <c r="I8" s="34"/>
      <c r="J8" s="34"/>
      <c r="K8" s="34"/>
      <c r="L8" s="34"/>
      <c r="M8" s="34"/>
      <c r="N8" s="34"/>
      <c r="O8" s="34"/>
      <c r="P8" s="34"/>
      <c r="Q8" s="28"/>
      <c r="R8" s="28"/>
      <c r="S8" s="28"/>
    </row>
    <row r="9" spans="1:19">
      <c r="A9" s="21"/>
    </row>
    <row r="10" spans="1:19">
      <c r="A10" s="21"/>
    </row>
    <row r="11" spans="1:19" ht="18" customHeight="1">
      <c r="A11" s="66" t="s">
        <v>1862</v>
      </c>
      <c r="B11" s="67"/>
      <c r="C11" s="67"/>
      <c r="D11" s="67"/>
      <c r="E11" s="66"/>
      <c r="F11" s="67"/>
      <c r="G11" s="67"/>
      <c r="H11" s="67"/>
      <c r="I11" s="67"/>
      <c r="J11" s="67"/>
      <c r="K11" s="36"/>
    </row>
    <row r="12" spans="1:19" ht="24" customHeight="1">
      <c r="A12" s="66" t="s">
        <v>1863</v>
      </c>
      <c r="B12" s="67"/>
      <c r="C12" s="66"/>
      <c r="D12" s="67"/>
      <c r="E12" s="67"/>
      <c r="F12" s="67"/>
      <c r="G12" s="67"/>
      <c r="H12" s="67"/>
      <c r="I12" s="67"/>
      <c r="J12" s="67"/>
      <c r="K12" s="36"/>
    </row>
    <row r="13" spans="1:19" ht="21.75" customHeight="1">
      <c r="A13" s="66" t="s">
        <v>1864</v>
      </c>
      <c r="B13" s="67"/>
      <c r="C13" s="66"/>
      <c r="D13" s="67"/>
      <c r="E13" s="67"/>
      <c r="F13" s="67"/>
      <c r="G13" s="67"/>
      <c r="H13" s="67"/>
      <c r="I13" s="67"/>
      <c r="J13" s="67"/>
      <c r="K13" s="36"/>
    </row>
    <row r="14" spans="1:19" ht="15.6">
      <c r="A14" s="38"/>
      <c r="B14" s="39"/>
      <c r="C14" s="38"/>
      <c r="D14" s="39"/>
      <c r="E14" s="39"/>
      <c r="F14" s="39"/>
      <c r="G14" s="39"/>
      <c r="H14" s="39"/>
      <c r="I14" s="39"/>
      <c r="J14" s="3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6"/>
  <sheetViews>
    <sheetView workbookViewId="0">
      <selection activeCell="F16" sqref="F16"/>
    </sheetView>
  </sheetViews>
  <sheetFormatPr defaultColWidth="9" defaultRowHeight="14.4"/>
  <sheetData>
    <row r="1" spans="1:11" ht="17.399999999999999">
      <c r="A1" s="7" t="s">
        <v>1421</v>
      </c>
    </row>
    <row r="2" spans="1:11" ht="57.6">
      <c r="A2" s="74"/>
      <c r="B2" s="23" t="s">
        <v>1422</v>
      </c>
      <c r="C2" s="23" t="s">
        <v>1423</v>
      </c>
      <c r="D2" s="23" t="s">
        <v>1424</v>
      </c>
      <c r="E2" s="23" t="s">
        <v>126</v>
      </c>
      <c r="F2" s="23" t="s">
        <v>1375</v>
      </c>
      <c r="G2" s="23" t="s">
        <v>1425</v>
      </c>
      <c r="H2" s="23" t="s">
        <v>1426</v>
      </c>
      <c r="I2" s="23" t="s">
        <v>1427</v>
      </c>
      <c r="J2" s="59" t="s">
        <v>79</v>
      </c>
    </row>
    <row r="3" spans="1:11">
      <c r="A3" s="24">
        <v>1</v>
      </c>
      <c r="B3" s="25" t="s">
        <v>84</v>
      </c>
      <c r="C3" s="25" t="s">
        <v>84</v>
      </c>
      <c r="D3" s="25" t="s">
        <v>84</v>
      </c>
      <c r="E3" s="25" t="s">
        <v>84</v>
      </c>
      <c r="F3" s="25" t="s">
        <v>84</v>
      </c>
      <c r="G3" s="25" t="s">
        <v>84</v>
      </c>
      <c r="H3" s="25" t="s">
        <v>84</v>
      </c>
      <c r="I3" s="25" t="s">
        <v>84</v>
      </c>
      <c r="J3" s="25" t="s">
        <v>84</v>
      </c>
    </row>
    <row r="4" spans="1:11">
      <c r="A4" s="26">
        <v>2</v>
      </c>
      <c r="B4" s="28"/>
      <c r="C4" s="28"/>
      <c r="D4" s="28"/>
      <c r="E4" s="28"/>
      <c r="F4" s="28"/>
      <c r="G4" s="28"/>
      <c r="H4" s="28"/>
      <c r="I4" s="28"/>
      <c r="J4" s="28"/>
    </row>
    <row r="5" spans="1:11">
      <c r="A5" s="26">
        <v>3</v>
      </c>
      <c r="B5" s="28"/>
      <c r="C5" s="28"/>
      <c r="D5" s="28"/>
      <c r="E5" s="28"/>
      <c r="F5" s="28"/>
      <c r="G5" s="28"/>
      <c r="H5" s="28"/>
      <c r="I5" s="28"/>
      <c r="J5" s="28"/>
    </row>
    <row r="6" spans="1:11">
      <c r="A6" s="26">
        <v>4</v>
      </c>
      <c r="B6" s="28"/>
      <c r="C6" s="28"/>
      <c r="D6" s="28"/>
      <c r="E6" s="28"/>
      <c r="F6" s="28"/>
      <c r="G6" s="28"/>
      <c r="H6" s="28"/>
      <c r="I6" s="28"/>
      <c r="J6" s="28"/>
    </row>
    <row r="7" spans="1:11">
      <c r="A7" s="26">
        <v>5</v>
      </c>
      <c r="B7" s="28"/>
      <c r="C7" s="28"/>
      <c r="D7" s="28"/>
      <c r="E7" s="28"/>
      <c r="F7" s="28"/>
      <c r="G7" s="28"/>
      <c r="H7" s="28"/>
      <c r="I7" s="28"/>
      <c r="J7" s="28"/>
    </row>
    <row r="8" spans="1:11">
      <c r="A8" s="26">
        <v>6</v>
      </c>
      <c r="B8" s="28"/>
      <c r="C8" s="28"/>
      <c r="D8" s="28"/>
      <c r="E8" s="28"/>
      <c r="F8" s="28"/>
      <c r="G8" s="28"/>
      <c r="H8" s="28"/>
      <c r="I8" s="28"/>
      <c r="J8" s="28"/>
    </row>
    <row r="9" spans="1:11">
      <c r="A9" s="26">
        <v>7</v>
      </c>
      <c r="B9" s="28"/>
      <c r="C9" s="28"/>
      <c r="D9" s="28"/>
      <c r="E9" s="28"/>
      <c r="F9" s="28"/>
      <c r="G9" s="28"/>
      <c r="H9" s="28"/>
      <c r="I9" s="28"/>
      <c r="J9" s="28"/>
    </row>
    <row r="10" spans="1:11">
      <c r="A10" s="21"/>
    </row>
    <row r="11" spans="1:11" ht="18" customHeight="1">
      <c r="A11" s="66" t="s">
        <v>1862</v>
      </c>
      <c r="B11" s="67"/>
      <c r="C11" s="67"/>
      <c r="D11" s="67"/>
      <c r="E11" s="66"/>
      <c r="F11" s="67"/>
      <c r="G11" s="67"/>
      <c r="H11" s="67"/>
      <c r="I11" s="67"/>
      <c r="J11" s="67"/>
      <c r="K11" s="36"/>
    </row>
    <row r="12" spans="1:11" ht="24" customHeight="1">
      <c r="A12" s="66" t="s">
        <v>1863</v>
      </c>
      <c r="B12" s="67"/>
      <c r="C12" s="66"/>
      <c r="D12" s="67"/>
      <c r="E12" s="67"/>
      <c r="F12" s="67"/>
      <c r="G12" s="67"/>
      <c r="H12" s="67"/>
      <c r="I12" s="67"/>
      <c r="J12" s="67"/>
      <c r="K12" s="36"/>
    </row>
    <row r="13" spans="1:11" ht="21.75" customHeight="1">
      <c r="A13" s="66" t="s">
        <v>1864</v>
      </c>
      <c r="B13" s="67"/>
      <c r="C13" s="66"/>
      <c r="D13" s="67"/>
      <c r="E13" s="67"/>
      <c r="F13" s="67"/>
      <c r="G13" s="67"/>
      <c r="H13" s="67"/>
      <c r="I13" s="67"/>
      <c r="J13" s="67"/>
      <c r="K13" s="36"/>
    </row>
    <row r="14" spans="1:11" ht="24" customHeight="1">
      <c r="A14" s="66"/>
      <c r="B14" s="67"/>
      <c r="C14" s="66"/>
      <c r="D14" s="67"/>
      <c r="E14" s="67"/>
      <c r="F14" s="66"/>
      <c r="G14" s="67"/>
      <c r="H14" s="66"/>
      <c r="I14" s="67"/>
      <c r="J14" s="67"/>
    </row>
    <row r="15" spans="1:11" ht="21.75" customHeight="1">
      <c r="A15" s="66"/>
      <c r="B15" s="67"/>
      <c r="C15" s="66"/>
      <c r="D15" s="67"/>
      <c r="E15" s="67"/>
      <c r="F15" s="66"/>
      <c r="G15" s="67"/>
      <c r="H15" s="66"/>
      <c r="I15" s="67"/>
      <c r="J15" s="67"/>
    </row>
    <row r="16" spans="1:11">
      <c r="A16" s="2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9"/>
  <sheetViews>
    <sheetView topLeftCell="B5" workbookViewId="0">
      <selection activeCell="C11" sqref="C11"/>
    </sheetView>
  </sheetViews>
  <sheetFormatPr defaultColWidth="9" defaultRowHeight="14.4"/>
  <cols>
    <col min="1" max="1" width="9" style="36"/>
    <col min="2" max="2" width="19" style="36" customWidth="1"/>
    <col min="3" max="3" width="39.88671875" style="36" customWidth="1"/>
    <col min="4" max="4" width="23.33203125" style="36" customWidth="1"/>
    <col min="5" max="5" width="17.109375" style="36" customWidth="1"/>
    <col min="6" max="6" width="22.6640625" style="36" customWidth="1"/>
    <col min="7" max="7" width="9" style="36"/>
    <col min="8" max="8" width="13.6640625" style="36" customWidth="1"/>
    <col min="9" max="9" width="20.33203125" style="36" customWidth="1"/>
    <col min="10" max="10" width="23.33203125" style="36" customWidth="1"/>
    <col min="11" max="11" width="17.88671875" style="36" customWidth="1"/>
    <col min="12" max="16384" width="9" style="36"/>
  </cols>
  <sheetData>
    <row r="1" spans="1:11" ht="17.399999999999999">
      <c r="A1" s="61" t="s">
        <v>1428</v>
      </c>
    </row>
    <row r="2" spans="1:11" customFormat="1" ht="43.2">
      <c r="A2" s="74"/>
      <c r="B2" s="23" t="s">
        <v>1429</v>
      </c>
      <c r="C2" s="23" t="s">
        <v>1422</v>
      </c>
      <c r="D2" s="23" t="s">
        <v>1430</v>
      </c>
      <c r="E2" s="23" t="s">
        <v>1431</v>
      </c>
      <c r="F2" s="23" t="s">
        <v>126</v>
      </c>
      <c r="G2" s="23" t="s">
        <v>1375</v>
      </c>
      <c r="H2" s="23" t="s">
        <v>1425</v>
      </c>
      <c r="I2" s="23" t="s">
        <v>1426</v>
      </c>
      <c r="J2" s="23" t="s">
        <v>1427</v>
      </c>
      <c r="K2" s="59" t="s">
        <v>79</v>
      </c>
    </row>
    <row r="3" spans="1:11" customFormat="1">
      <c r="A3" s="82">
        <v>1</v>
      </c>
      <c r="B3" s="27" t="s">
        <v>1432</v>
      </c>
      <c r="C3" s="27" t="s">
        <v>1433</v>
      </c>
      <c r="D3" s="27" t="s">
        <v>1434</v>
      </c>
      <c r="E3" s="25" t="s">
        <v>1435</v>
      </c>
      <c r="F3" s="25" t="s">
        <v>1436</v>
      </c>
      <c r="G3" s="27" t="s">
        <v>1388</v>
      </c>
      <c r="H3" s="83">
        <v>51500</v>
      </c>
      <c r="I3" s="27" t="s">
        <v>1437</v>
      </c>
      <c r="J3" s="27" t="s">
        <v>1438</v>
      </c>
      <c r="K3" s="85"/>
    </row>
    <row r="4" spans="1:11" customFormat="1">
      <c r="A4" s="82">
        <v>2</v>
      </c>
      <c r="B4" s="27" t="s">
        <v>1432</v>
      </c>
      <c r="C4" s="27" t="s">
        <v>1439</v>
      </c>
      <c r="D4" s="27" t="s">
        <v>1434</v>
      </c>
      <c r="E4" s="25" t="s">
        <v>1440</v>
      </c>
      <c r="F4" s="25" t="s">
        <v>1436</v>
      </c>
      <c r="G4" s="27" t="s">
        <v>1388</v>
      </c>
      <c r="H4" s="83">
        <v>15000</v>
      </c>
      <c r="I4" s="27" t="s">
        <v>1437</v>
      </c>
      <c r="J4" s="27" t="s">
        <v>1438</v>
      </c>
      <c r="K4" s="85"/>
    </row>
    <row r="5" spans="1:11" customFormat="1">
      <c r="A5" s="82">
        <v>3</v>
      </c>
      <c r="B5" s="27" t="s">
        <v>1432</v>
      </c>
      <c r="C5" s="27" t="s">
        <v>1441</v>
      </c>
      <c r="D5" s="27" t="s">
        <v>1434</v>
      </c>
      <c r="E5" s="25" t="s">
        <v>1442</v>
      </c>
      <c r="F5" s="25" t="s">
        <v>1436</v>
      </c>
      <c r="G5" s="27" t="s">
        <v>1388</v>
      </c>
      <c r="H5" s="83">
        <v>16664</v>
      </c>
      <c r="I5" s="27" t="s">
        <v>1437</v>
      </c>
      <c r="J5" s="27" t="s">
        <v>1438</v>
      </c>
      <c r="K5" s="85"/>
    </row>
    <row r="6" spans="1:11" customFormat="1">
      <c r="A6" s="82">
        <v>4</v>
      </c>
      <c r="B6" s="27" t="s">
        <v>1432</v>
      </c>
      <c r="C6" s="27" t="s">
        <v>1443</v>
      </c>
      <c r="D6" s="27" t="s">
        <v>1434</v>
      </c>
      <c r="E6" s="25" t="s">
        <v>1442</v>
      </c>
      <c r="F6" s="25" t="s">
        <v>1436</v>
      </c>
      <c r="G6" s="27" t="s">
        <v>1388</v>
      </c>
      <c r="H6" s="83">
        <v>33331</v>
      </c>
      <c r="I6" s="27" t="s">
        <v>1437</v>
      </c>
      <c r="J6" s="27" t="s">
        <v>1438</v>
      </c>
      <c r="K6" s="85"/>
    </row>
    <row r="7" spans="1:11" customFormat="1">
      <c r="A7" s="82">
        <v>5</v>
      </c>
      <c r="B7" s="27" t="s">
        <v>1432</v>
      </c>
      <c r="C7" s="27" t="s">
        <v>1444</v>
      </c>
      <c r="D7" s="27" t="s">
        <v>1434</v>
      </c>
      <c r="E7" s="25" t="s">
        <v>1445</v>
      </c>
      <c r="F7" s="25" t="s">
        <v>1436</v>
      </c>
      <c r="G7" s="27" t="s">
        <v>1388</v>
      </c>
      <c r="H7" s="83">
        <v>166669</v>
      </c>
      <c r="I7" s="27" t="s">
        <v>1437</v>
      </c>
      <c r="J7" s="27" t="s">
        <v>1438</v>
      </c>
      <c r="K7" s="85"/>
    </row>
    <row r="8" spans="1:11" customFormat="1">
      <c r="A8" s="82">
        <v>6</v>
      </c>
      <c r="B8" s="27" t="s">
        <v>1432</v>
      </c>
      <c r="C8" s="27" t="s">
        <v>1446</v>
      </c>
      <c r="D8" s="27" t="s">
        <v>1434</v>
      </c>
      <c r="E8" s="25" t="s">
        <v>1447</v>
      </c>
      <c r="F8" s="25" t="s">
        <v>1436</v>
      </c>
      <c r="G8" s="27" t="s">
        <v>1388</v>
      </c>
      <c r="H8" s="83">
        <v>48668</v>
      </c>
      <c r="I8" s="27" t="s">
        <v>1437</v>
      </c>
      <c r="J8" s="27" t="s">
        <v>1438</v>
      </c>
      <c r="K8" s="85"/>
    </row>
    <row r="9" spans="1:11" customFormat="1">
      <c r="A9" s="82">
        <v>7</v>
      </c>
      <c r="B9" s="27" t="s">
        <v>1432</v>
      </c>
      <c r="C9" s="27" t="s">
        <v>1448</v>
      </c>
      <c r="D9" s="27" t="s">
        <v>1434</v>
      </c>
      <c r="E9" s="25" t="s">
        <v>1449</v>
      </c>
      <c r="F9" s="25" t="s">
        <v>1436</v>
      </c>
      <c r="G9" s="27" t="s">
        <v>1388</v>
      </c>
      <c r="H9" s="83">
        <v>136000</v>
      </c>
      <c r="I9" s="27" t="s">
        <v>1437</v>
      </c>
      <c r="J9" s="27" t="s">
        <v>1438</v>
      </c>
      <c r="K9" s="85"/>
    </row>
    <row r="10" spans="1:11" customFormat="1">
      <c r="A10" s="82">
        <v>8</v>
      </c>
      <c r="B10" s="27" t="s">
        <v>1432</v>
      </c>
      <c r="C10" s="27" t="s">
        <v>1450</v>
      </c>
      <c r="D10" s="27" t="s">
        <v>1434</v>
      </c>
      <c r="E10" s="25" t="s">
        <v>1440</v>
      </c>
      <c r="F10" s="25" t="s">
        <v>1436</v>
      </c>
      <c r="G10" s="27" t="s">
        <v>1388</v>
      </c>
      <c r="H10" s="83">
        <v>75001</v>
      </c>
      <c r="I10" s="27" t="s">
        <v>1437</v>
      </c>
      <c r="J10" s="27" t="s">
        <v>1438</v>
      </c>
      <c r="K10" s="85"/>
    </row>
    <row r="11" spans="1:11" customFormat="1">
      <c r="A11" s="82">
        <v>9</v>
      </c>
      <c r="B11" s="27" t="s">
        <v>1432</v>
      </c>
      <c r="C11" s="27" t="s">
        <v>1451</v>
      </c>
      <c r="D11" s="27" t="s">
        <v>1434</v>
      </c>
      <c r="E11" s="25" t="s">
        <v>1435</v>
      </c>
      <c r="F11" s="25" t="s">
        <v>1436</v>
      </c>
      <c r="G11" s="27" t="s">
        <v>1388</v>
      </c>
      <c r="H11" s="83">
        <v>200000</v>
      </c>
      <c r="I11" s="27" t="s">
        <v>1437</v>
      </c>
      <c r="J11" s="27" t="s">
        <v>1438</v>
      </c>
      <c r="K11" s="85"/>
    </row>
    <row r="12" spans="1:11" customFormat="1">
      <c r="A12" s="82">
        <v>10</v>
      </c>
      <c r="B12" s="27" t="s">
        <v>1432</v>
      </c>
      <c r="C12" s="27" t="s">
        <v>1452</v>
      </c>
      <c r="D12" s="27" t="s">
        <v>1434</v>
      </c>
      <c r="E12" s="25" t="s">
        <v>1442</v>
      </c>
      <c r="F12" s="25" t="s">
        <v>1436</v>
      </c>
      <c r="G12" s="27" t="s">
        <v>1388</v>
      </c>
      <c r="H12" s="83">
        <v>11375</v>
      </c>
      <c r="I12" s="27" t="s">
        <v>1437</v>
      </c>
      <c r="J12" s="27" t="s">
        <v>1438</v>
      </c>
      <c r="K12" s="85"/>
    </row>
    <row r="13" spans="1:11" customFormat="1">
      <c r="A13" s="82">
        <v>11</v>
      </c>
      <c r="B13" s="27" t="s">
        <v>1432</v>
      </c>
      <c r="C13" s="27" t="s">
        <v>1453</v>
      </c>
      <c r="D13" s="27" t="s">
        <v>1434</v>
      </c>
      <c r="E13" s="25" t="s">
        <v>1454</v>
      </c>
      <c r="F13" s="25" t="s">
        <v>1436</v>
      </c>
      <c r="G13" s="27" t="s">
        <v>1388</v>
      </c>
      <c r="H13" s="83">
        <v>91667</v>
      </c>
      <c r="I13" s="27" t="s">
        <v>1437</v>
      </c>
      <c r="J13" s="27" t="s">
        <v>1438</v>
      </c>
      <c r="K13" s="85"/>
    </row>
    <row r="14" spans="1:11" customFormat="1">
      <c r="A14" s="82">
        <v>12</v>
      </c>
      <c r="B14" s="27" t="s">
        <v>1432</v>
      </c>
      <c r="C14" s="27" t="s">
        <v>1455</v>
      </c>
      <c r="D14" s="27" t="s">
        <v>1434</v>
      </c>
      <c r="E14" s="25" t="s">
        <v>1440</v>
      </c>
      <c r="F14" s="25" t="s">
        <v>1436</v>
      </c>
      <c r="G14" s="27" t="s">
        <v>1388</v>
      </c>
      <c r="H14" s="83">
        <v>41667</v>
      </c>
      <c r="I14" s="27" t="s">
        <v>1437</v>
      </c>
      <c r="J14" s="27" t="s">
        <v>1438</v>
      </c>
      <c r="K14" s="85"/>
    </row>
    <row r="15" spans="1:11" customFormat="1">
      <c r="A15" s="82">
        <v>13</v>
      </c>
      <c r="B15" s="27" t="s">
        <v>1432</v>
      </c>
      <c r="C15" s="27" t="s">
        <v>1456</v>
      </c>
      <c r="D15" s="27" t="s">
        <v>1434</v>
      </c>
      <c r="E15" s="25" t="s">
        <v>1442</v>
      </c>
      <c r="F15" s="25" t="s">
        <v>1436</v>
      </c>
      <c r="G15" s="27" t="s">
        <v>1388</v>
      </c>
      <c r="H15" s="83">
        <v>18333</v>
      </c>
      <c r="I15" s="27" t="s">
        <v>1437</v>
      </c>
      <c r="J15" s="27" t="s">
        <v>1438</v>
      </c>
      <c r="K15" s="85"/>
    </row>
    <row r="16" spans="1:11">
      <c r="H16" s="84">
        <f>SUM(H3:H15)</f>
        <v>905875</v>
      </c>
    </row>
    <row r="17" spans="1:11" customFormat="1" ht="18" customHeight="1">
      <c r="A17" s="66" t="s">
        <v>1862</v>
      </c>
      <c r="B17" s="67"/>
      <c r="C17" s="67"/>
      <c r="D17" s="67"/>
      <c r="E17" s="66"/>
      <c r="F17" s="67"/>
      <c r="G17" s="67"/>
      <c r="H17" s="67"/>
      <c r="I17" s="67"/>
      <c r="J17" s="67"/>
      <c r="K17" s="36"/>
    </row>
    <row r="18" spans="1:11" customFormat="1" ht="24" customHeight="1">
      <c r="A18" s="66" t="s">
        <v>1863</v>
      </c>
      <c r="B18" s="67"/>
      <c r="C18" s="66"/>
      <c r="D18" s="67"/>
      <c r="E18" s="67"/>
      <c r="F18" s="67"/>
      <c r="G18" s="67"/>
      <c r="H18" s="67"/>
      <c r="I18" s="67"/>
      <c r="J18" s="67"/>
      <c r="K18" s="36"/>
    </row>
    <row r="19" spans="1:11" customFormat="1" ht="21.75" customHeight="1">
      <c r="A19" s="66" t="s">
        <v>1864</v>
      </c>
      <c r="B19" s="67"/>
      <c r="C19" s="66"/>
      <c r="D19" s="67"/>
      <c r="E19" s="67"/>
      <c r="F19" s="67"/>
      <c r="G19" s="67"/>
      <c r="H19" s="67"/>
      <c r="I19" s="67"/>
      <c r="J19" s="67"/>
      <c r="K19" s="36"/>
    </row>
  </sheetData>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61"/>
  <sheetViews>
    <sheetView topLeftCell="A49" workbookViewId="0">
      <selection activeCell="D67" sqref="D67"/>
    </sheetView>
  </sheetViews>
  <sheetFormatPr defaultColWidth="9" defaultRowHeight="14.4"/>
  <cols>
    <col min="1" max="1" width="10.88671875" style="36" customWidth="1"/>
    <col min="2" max="2" width="31.33203125" style="36" customWidth="1"/>
    <col min="3" max="3" width="9" style="36"/>
    <col min="4" max="4" width="13.88671875" style="36" customWidth="1"/>
    <col min="5" max="5" width="18.6640625" style="36" customWidth="1"/>
    <col min="6" max="6" width="11.6640625" style="36" customWidth="1"/>
    <col min="7" max="7" width="12.88671875" style="36" customWidth="1"/>
    <col min="8" max="8" width="12.6640625" style="36" customWidth="1"/>
    <col min="9" max="9" width="10.5546875" style="36" customWidth="1"/>
    <col min="10" max="10" width="9" style="36"/>
    <col min="11" max="11" width="21.33203125" style="36" customWidth="1"/>
    <col min="12" max="12" width="17.5546875" style="36" customWidth="1"/>
    <col min="13" max="13" width="9" style="36"/>
    <col min="14" max="14" width="16.88671875" style="36" customWidth="1"/>
    <col min="15" max="16384" width="9" style="36"/>
  </cols>
  <sheetData>
    <row r="1" spans="1:14" ht="17.399999999999999">
      <c r="A1" s="61" t="s">
        <v>1457</v>
      </c>
    </row>
    <row r="2" spans="1:14" customFormat="1" ht="57.6">
      <c r="A2" s="74"/>
      <c r="B2" s="23" t="s">
        <v>1458</v>
      </c>
      <c r="C2" s="23" t="s">
        <v>1459</v>
      </c>
      <c r="D2" s="23" t="s">
        <v>1431</v>
      </c>
      <c r="E2" s="23" t="s">
        <v>1460</v>
      </c>
      <c r="F2" s="23" t="s">
        <v>1461</v>
      </c>
      <c r="G2" s="23" t="s">
        <v>1462</v>
      </c>
      <c r="H2" s="23" t="s">
        <v>1463</v>
      </c>
      <c r="I2" s="23" t="s">
        <v>1427</v>
      </c>
      <c r="J2" s="77" t="s">
        <v>1375</v>
      </c>
      <c r="K2" s="78" t="s">
        <v>1464</v>
      </c>
      <c r="L2" s="23" t="s">
        <v>1465</v>
      </c>
      <c r="M2" s="23" t="s">
        <v>1377</v>
      </c>
      <c r="N2" s="59" t="s">
        <v>79</v>
      </c>
    </row>
    <row r="3" spans="1:14" customFormat="1">
      <c r="A3" s="75">
        <v>1</v>
      </c>
      <c r="B3" s="76" t="s">
        <v>1466</v>
      </c>
      <c r="C3" s="76"/>
      <c r="D3" s="76"/>
      <c r="E3" s="76" t="s">
        <v>1467</v>
      </c>
      <c r="F3" s="76" t="s">
        <v>1468</v>
      </c>
      <c r="G3" s="76" t="s">
        <v>1469</v>
      </c>
      <c r="H3" s="76" t="s">
        <v>1469</v>
      </c>
      <c r="I3" s="28">
        <v>0</v>
      </c>
      <c r="J3" s="79" t="s">
        <v>1388</v>
      </c>
      <c r="K3" s="54">
        <v>468403.20000000001</v>
      </c>
      <c r="L3" s="54">
        <v>468403.20000000001</v>
      </c>
      <c r="M3" s="80">
        <f>K3-L3</f>
        <v>0</v>
      </c>
      <c r="N3" s="28"/>
    </row>
    <row r="4" spans="1:14" customFormat="1">
      <c r="A4" s="75">
        <v>2</v>
      </c>
      <c r="B4" s="76" t="s">
        <v>1470</v>
      </c>
      <c r="C4" s="76"/>
      <c r="D4" s="76"/>
      <c r="E4" s="76" t="s">
        <v>1471</v>
      </c>
      <c r="F4" s="76" t="s">
        <v>1468</v>
      </c>
      <c r="G4" s="76" t="s">
        <v>1469</v>
      </c>
      <c r="H4" s="76" t="s">
        <v>1469</v>
      </c>
      <c r="I4" s="28">
        <v>0</v>
      </c>
      <c r="J4" s="28" t="s">
        <v>1388</v>
      </c>
      <c r="K4" s="54">
        <v>255772.79999999999</v>
      </c>
      <c r="L4" s="54">
        <v>255772.79999999999</v>
      </c>
      <c r="M4" s="80">
        <f t="shared" ref="M4:M55" si="0">K4-L4</f>
        <v>0</v>
      </c>
      <c r="N4" s="28"/>
    </row>
    <row r="5" spans="1:14" customFormat="1">
      <c r="A5" s="75">
        <v>3</v>
      </c>
      <c r="B5" s="76" t="s">
        <v>1472</v>
      </c>
      <c r="C5" s="76"/>
      <c r="D5" s="76"/>
      <c r="E5" s="76" t="s">
        <v>1473</v>
      </c>
      <c r="F5" s="76" t="s">
        <v>1474</v>
      </c>
      <c r="G5" s="76" t="s">
        <v>1475</v>
      </c>
      <c r="H5" s="76" t="s">
        <v>1475</v>
      </c>
      <c r="I5" s="28">
        <v>0</v>
      </c>
      <c r="J5" s="28" t="s">
        <v>1388</v>
      </c>
      <c r="K5" s="54">
        <v>28000</v>
      </c>
      <c r="L5" s="54">
        <v>28000</v>
      </c>
      <c r="M5" s="80">
        <f t="shared" si="0"/>
        <v>0</v>
      </c>
      <c r="N5" s="28"/>
    </row>
    <row r="6" spans="1:14" customFormat="1">
      <c r="A6" s="75">
        <v>4</v>
      </c>
      <c r="B6" s="76" t="s">
        <v>1476</v>
      </c>
      <c r="C6" s="76"/>
      <c r="D6" s="76"/>
      <c r="E6" s="76" t="s">
        <v>1477</v>
      </c>
      <c r="F6" s="76" t="s">
        <v>1474</v>
      </c>
      <c r="G6" s="76" t="s">
        <v>1475</v>
      </c>
      <c r="H6" s="76" t="s">
        <v>1475</v>
      </c>
      <c r="I6" s="28">
        <v>0</v>
      </c>
      <c r="J6" s="28" t="s">
        <v>1388</v>
      </c>
      <c r="K6" s="54">
        <v>28000</v>
      </c>
      <c r="L6" s="54">
        <v>28000</v>
      </c>
      <c r="M6" s="80">
        <f t="shared" si="0"/>
        <v>0</v>
      </c>
      <c r="N6" s="28"/>
    </row>
    <row r="7" spans="1:14" customFormat="1">
      <c r="A7" s="75">
        <v>5</v>
      </c>
      <c r="B7" s="76" t="s">
        <v>1478</v>
      </c>
      <c r="C7" s="76"/>
      <c r="D7" s="76"/>
      <c r="E7" s="76" t="s">
        <v>1479</v>
      </c>
      <c r="F7" s="76" t="s">
        <v>1474</v>
      </c>
      <c r="G7" s="76" t="s">
        <v>1475</v>
      </c>
      <c r="H7" s="76" t="s">
        <v>1475</v>
      </c>
      <c r="I7" s="28">
        <v>0</v>
      </c>
      <c r="J7" s="28" t="s">
        <v>1388</v>
      </c>
      <c r="K7" s="54">
        <v>68000</v>
      </c>
      <c r="L7" s="54">
        <v>68000</v>
      </c>
      <c r="M7" s="80">
        <f t="shared" si="0"/>
        <v>0</v>
      </c>
      <c r="N7" s="28"/>
    </row>
    <row r="8" spans="1:14" customFormat="1">
      <c r="A8" s="75">
        <v>6</v>
      </c>
      <c r="B8" s="76" t="s">
        <v>1480</v>
      </c>
      <c r="C8" s="76"/>
      <c r="D8" s="76"/>
      <c r="E8" s="76" t="s">
        <v>1481</v>
      </c>
      <c r="F8" s="76" t="s">
        <v>1474</v>
      </c>
      <c r="G8" s="76" t="s">
        <v>1475</v>
      </c>
      <c r="H8" s="76" t="s">
        <v>1475</v>
      </c>
      <c r="I8" s="28">
        <v>0</v>
      </c>
      <c r="J8" s="28" t="s">
        <v>1388</v>
      </c>
      <c r="K8" s="54">
        <v>33600</v>
      </c>
      <c r="L8" s="54">
        <v>33600</v>
      </c>
      <c r="M8" s="80">
        <f t="shared" si="0"/>
        <v>0</v>
      </c>
      <c r="N8" s="28"/>
    </row>
    <row r="9" spans="1:14" customFormat="1">
      <c r="A9" s="75">
        <v>7</v>
      </c>
      <c r="B9" s="76" t="s">
        <v>1482</v>
      </c>
      <c r="C9" s="76"/>
      <c r="D9" s="76"/>
      <c r="E9" s="76" t="s">
        <v>1483</v>
      </c>
      <c r="F9" s="76" t="s">
        <v>1474</v>
      </c>
      <c r="G9" s="76" t="s">
        <v>1475</v>
      </c>
      <c r="H9" s="76" t="s">
        <v>1475</v>
      </c>
      <c r="I9" s="28">
        <v>0</v>
      </c>
      <c r="J9" s="28" t="s">
        <v>1388</v>
      </c>
      <c r="K9" s="54">
        <v>28000</v>
      </c>
      <c r="L9" s="54">
        <v>28000</v>
      </c>
      <c r="M9" s="80">
        <f t="shared" si="0"/>
        <v>0</v>
      </c>
      <c r="N9" s="28"/>
    </row>
    <row r="10" spans="1:14" customFormat="1">
      <c r="A10" s="75">
        <v>8</v>
      </c>
      <c r="B10" s="76" t="s">
        <v>1472</v>
      </c>
      <c r="C10" s="76"/>
      <c r="D10" s="76"/>
      <c r="E10" s="76" t="s">
        <v>1484</v>
      </c>
      <c r="F10" s="76" t="s">
        <v>1485</v>
      </c>
      <c r="G10" s="76" t="s">
        <v>1486</v>
      </c>
      <c r="H10" s="76" t="s">
        <v>1486</v>
      </c>
      <c r="I10" s="28">
        <v>0</v>
      </c>
      <c r="J10" s="28" t="s">
        <v>1388</v>
      </c>
      <c r="K10" s="54">
        <v>14000</v>
      </c>
      <c r="L10" s="54">
        <v>14000</v>
      </c>
      <c r="M10" s="80">
        <f t="shared" si="0"/>
        <v>0</v>
      </c>
      <c r="N10" s="28"/>
    </row>
    <row r="11" spans="1:14" customFormat="1">
      <c r="A11" s="75">
        <v>9</v>
      </c>
      <c r="B11" s="76" t="s">
        <v>1480</v>
      </c>
      <c r="C11" s="76"/>
      <c r="D11" s="76"/>
      <c r="E11" s="76" t="s">
        <v>1487</v>
      </c>
      <c r="F11" s="76" t="s">
        <v>1485</v>
      </c>
      <c r="G11" s="76" t="s">
        <v>1486</v>
      </c>
      <c r="H11" s="76" t="s">
        <v>1486</v>
      </c>
      <c r="I11" s="28">
        <v>0</v>
      </c>
      <c r="J11" s="28" t="s">
        <v>1388</v>
      </c>
      <c r="K11" s="54">
        <v>27092</v>
      </c>
      <c r="L11" s="54">
        <v>27092</v>
      </c>
      <c r="M11" s="80">
        <f t="shared" si="0"/>
        <v>0</v>
      </c>
      <c r="N11" s="28"/>
    </row>
    <row r="12" spans="1:14" customFormat="1">
      <c r="A12" s="75">
        <v>10</v>
      </c>
      <c r="B12" s="76" t="s">
        <v>1478</v>
      </c>
      <c r="C12" s="76"/>
      <c r="D12" s="76"/>
      <c r="E12" s="76" t="s">
        <v>1488</v>
      </c>
      <c r="F12" s="76" t="s">
        <v>1485</v>
      </c>
      <c r="G12" s="76" t="s">
        <v>1486</v>
      </c>
      <c r="H12" s="76" t="s">
        <v>1486</v>
      </c>
      <c r="I12" s="28">
        <v>0</v>
      </c>
      <c r="J12" s="28" t="s">
        <v>1388</v>
      </c>
      <c r="K12" s="54">
        <v>14000</v>
      </c>
      <c r="L12" s="54">
        <v>14000</v>
      </c>
      <c r="M12" s="80">
        <f t="shared" si="0"/>
        <v>0</v>
      </c>
      <c r="N12" s="28"/>
    </row>
    <row r="13" spans="1:14" customFormat="1">
      <c r="A13" s="75">
        <v>11</v>
      </c>
      <c r="B13" s="76" t="s">
        <v>1482</v>
      </c>
      <c r="C13" s="76"/>
      <c r="D13" s="76"/>
      <c r="E13" s="76" t="s">
        <v>1489</v>
      </c>
      <c r="F13" s="76" t="s">
        <v>1485</v>
      </c>
      <c r="G13" s="76" t="s">
        <v>1486</v>
      </c>
      <c r="H13" s="76" t="s">
        <v>1486</v>
      </c>
      <c r="I13" s="28">
        <v>0</v>
      </c>
      <c r="J13" s="28" t="s">
        <v>1388</v>
      </c>
      <c r="K13" s="54">
        <v>21812</v>
      </c>
      <c r="L13" s="54">
        <v>21812</v>
      </c>
      <c r="M13" s="80">
        <f t="shared" si="0"/>
        <v>0</v>
      </c>
      <c r="N13" s="28"/>
    </row>
    <row r="14" spans="1:14" customFormat="1">
      <c r="A14" s="75">
        <v>12</v>
      </c>
      <c r="B14" s="76" t="s">
        <v>1476</v>
      </c>
      <c r="C14" s="76"/>
      <c r="D14" s="76"/>
      <c r="E14" s="76" t="s">
        <v>1490</v>
      </c>
      <c r="F14" s="76" t="s">
        <v>1485</v>
      </c>
      <c r="G14" s="76" t="s">
        <v>1486</v>
      </c>
      <c r="H14" s="76" t="s">
        <v>1486</v>
      </c>
      <c r="I14" s="28">
        <v>0</v>
      </c>
      <c r="J14" s="28" t="s">
        <v>1388</v>
      </c>
      <c r="K14" s="54">
        <v>14000</v>
      </c>
      <c r="L14" s="54">
        <v>14000</v>
      </c>
      <c r="M14" s="80">
        <f t="shared" si="0"/>
        <v>0</v>
      </c>
      <c r="N14" s="28"/>
    </row>
    <row r="15" spans="1:14" customFormat="1">
      <c r="A15" s="75">
        <v>13</v>
      </c>
      <c r="B15" s="76" t="s">
        <v>1491</v>
      </c>
      <c r="C15" s="76"/>
      <c r="D15" s="76"/>
      <c r="E15" s="76" t="s">
        <v>1492</v>
      </c>
      <c r="F15" s="76" t="s">
        <v>1475</v>
      </c>
      <c r="G15" s="76" t="s">
        <v>1493</v>
      </c>
      <c r="H15" s="76" t="s">
        <v>1493</v>
      </c>
      <c r="I15" s="28">
        <v>0</v>
      </c>
      <c r="J15" s="28" t="s">
        <v>1388</v>
      </c>
      <c r="K15" s="54">
        <v>20000</v>
      </c>
      <c r="L15" s="54">
        <v>20000</v>
      </c>
      <c r="M15" s="80">
        <f t="shared" si="0"/>
        <v>0</v>
      </c>
      <c r="N15" s="28"/>
    </row>
    <row r="16" spans="1:14" customFormat="1">
      <c r="A16" s="75">
        <v>14</v>
      </c>
      <c r="B16" s="76" t="s">
        <v>1494</v>
      </c>
      <c r="C16" s="76"/>
      <c r="D16" s="76"/>
      <c r="E16" s="76" t="s">
        <v>1495</v>
      </c>
      <c r="F16" s="76" t="s">
        <v>1496</v>
      </c>
      <c r="G16" s="76" t="s">
        <v>1486</v>
      </c>
      <c r="H16" s="76" t="s">
        <v>1486</v>
      </c>
      <c r="I16" s="28">
        <v>0</v>
      </c>
      <c r="J16" s="28" t="s">
        <v>1388</v>
      </c>
      <c r="K16" s="54">
        <v>33964</v>
      </c>
      <c r="L16" s="54">
        <v>33964</v>
      </c>
      <c r="M16" s="80">
        <f t="shared" si="0"/>
        <v>0</v>
      </c>
      <c r="N16" s="28"/>
    </row>
    <row r="17" spans="1:14" customFormat="1">
      <c r="A17" s="75">
        <v>15</v>
      </c>
      <c r="B17" s="76" t="s">
        <v>1497</v>
      </c>
      <c r="C17" s="76"/>
      <c r="D17" s="76"/>
      <c r="E17" s="76" t="s">
        <v>1498</v>
      </c>
      <c r="F17" s="76" t="s">
        <v>1496</v>
      </c>
      <c r="G17" s="76" t="s">
        <v>1486</v>
      </c>
      <c r="H17" s="76" t="s">
        <v>1486</v>
      </c>
      <c r="I17" s="28">
        <v>0</v>
      </c>
      <c r="J17" s="28" t="s">
        <v>1388</v>
      </c>
      <c r="K17" s="54">
        <v>11200</v>
      </c>
      <c r="L17" s="54">
        <v>11200</v>
      </c>
      <c r="M17" s="80">
        <f t="shared" si="0"/>
        <v>0</v>
      </c>
      <c r="N17" s="28"/>
    </row>
    <row r="18" spans="1:14" customFormat="1">
      <c r="A18" s="75">
        <v>16</v>
      </c>
      <c r="B18" s="76" t="s">
        <v>1466</v>
      </c>
      <c r="C18" s="76"/>
      <c r="D18" s="76"/>
      <c r="E18" s="76" t="s">
        <v>1499</v>
      </c>
      <c r="F18" s="76" t="s">
        <v>1493</v>
      </c>
      <c r="G18" s="76" t="s">
        <v>1469</v>
      </c>
      <c r="H18" s="76" t="s">
        <v>1469</v>
      </c>
      <c r="I18" s="28">
        <v>0</v>
      </c>
      <c r="J18" s="28" t="s">
        <v>1388</v>
      </c>
      <c r="K18" s="54">
        <v>36400</v>
      </c>
      <c r="L18" s="54">
        <v>36400</v>
      </c>
      <c r="M18" s="80">
        <f t="shared" si="0"/>
        <v>0</v>
      </c>
      <c r="N18" s="28"/>
    </row>
    <row r="19" spans="1:14" customFormat="1">
      <c r="A19" s="75">
        <v>17</v>
      </c>
      <c r="B19" s="76" t="s">
        <v>1500</v>
      </c>
      <c r="C19" s="76"/>
      <c r="D19" s="76"/>
      <c r="E19" s="76" t="s">
        <v>1501</v>
      </c>
      <c r="F19" s="76" t="s">
        <v>1493</v>
      </c>
      <c r="G19" s="76" t="s">
        <v>1469</v>
      </c>
      <c r="H19" s="76" t="s">
        <v>1469</v>
      </c>
      <c r="I19" s="28">
        <v>0</v>
      </c>
      <c r="J19" s="28" t="s">
        <v>1388</v>
      </c>
      <c r="K19" s="54">
        <v>22400</v>
      </c>
      <c r="L19" s="54">
        <v>22400</v>
      </c>
      <c r="M19" s="80">
        <f t="shared" si="0"/>
        <v>0</v>
      </c>
      <c r="N19" s="28"/>
    </row>
    <row r="20" spans="1:14" customFormat="1">
      <c r="A20" s="75">
        <v>18</v>
      </c>
      <c r="B20" s="76" t="s">
        <v>1502</v>
      </c>
      <c r="C20" s="76"/>
      <c r="D20" s="76"/>
      <c r="E20" s="76" t="s">
        <v>1503</v>
      </c>
      <c r="F20" s="76" t="s">
        <v>1493</v>
      </c>
      <c r="G20" s="76" t="s">
        <v>1469</v>
      </c>
      <c r="H20" s="76" t="s">
        <v>1469</v>
      </c>
      <c r="I20" s="28">
        <v>0</v>
      </c>
      <c r="J20" s="28" t="s">
        <v>1388</v>
      </c>
      <c r="K20" s="54">
        <v>12600</v>
      </c>
      <c r="L20" s="54">
        <v>12600</v>
      </c>
      <c r="M20" s="80">
        <f t="shared" si="0"/>
        <v>0</v>
      </c>
      <c r="N20" s="28"/>
    </row>
    <row r="21" spans="1:14" customFormat="1">
      <c r="A21" s="75">
        <v>19</v>
      </c>
      <c r="B21" s="76" t="s">
        <v>1491</v>
      </c>
      <c r="C21" s="76"/>
      <c r="D21" s="76"/>
      <c r="E21" s="76" t="s">
        <v>1504</v>
      </c>
      <c r="F21" s="76" t="s">
        <v>1493</v>
      </c>
      <c r="G21" s="76" t="s">
        <v>1469</v>
      </c>
      <c r="H21" s="76" t="s">
        <v>1469</v>
      </c>
      <c r="I21" s="28">
        <v>0</v>
      </c>
      <c r="J21" s="28" t="s">
        <v>1388</v>
      </c>
      <c r="K21" s="54">
        <v>11200</v>
      </c>
      <c r="L21" s="54">
        <v>11200</v>
      </c>
      <c r="M21" s="80">
        <f t="shared" si="0"/>
        <v>0</v>
      </c>
      <c r="N21" s="28"/>
    </row>
    <row r="22" spans="1:14" customFormat="1">
      <c r="A22" s="75">
        <v>20</v>
      </c>
      <c r="B22" s="76" t="s">
        <v>1505</v>
      </c>
      <c r="C22" s="76"/>
      <c r="D22" s="76"/>
      <c r="E22" s="76" t="s">
        <v>1506</v>
      </c>
      <c r="F22" s="76" t="s">
        <v>1493</v>
      </c>
      <c r="G22" s="76" t="s">
        <v>1469</v>
      </c>
      <c r="H22" s="76" t="s">
        <v>1469</v>
      </c>
      <c r="I22" s="28">
        <v>0</v>
      </c>
      <c r="J22" s="28" t="s">
        <v>1388</v>
      </c>
      <c r="K22" s="54">
        <v>56000</v>
      </c>
      <c r="L22" s="54">
        <v>56000</v>
      </c>
      <c r="M22" s="80">
        <f t="shared" si="0"/>
        <v>0</v>
      </c>
      <c r="N22" s="28"/>
    </row>
    <row r="23" spans="1:14" customFormat="1">
      <c r="A23" s="75">
        <v>21</v>
      </c>
      <c r="B23" s="76" t="s">
        <v>1507</v>
      </c>
      <c r="C23" s="76"/>
      <c r="D23" s="76"/>
      <c r="E23" s="76" t="s">
        <v>1508</v>
      </c>
      <c r="F23" s="76" t="s">
        <v>1509</v>
      </c>
      <c r="G23" s="76" t="s">
        <v>1510</v>
      </c>
      <c r="H23" s="76" t="s">
        <v>1510</v>
      </c>
      <c r="I23" s="28">
        <v>0</v>
      </c>
      <c r="J23" s="28" t="s">
        <v>1388</v>
      </c>
      <c r="K23" s="54">
        <v>226800</v>
      </c>
      <c r="L23" s="54">
        <v>226800</v>
      </c>
      <c r="M23" s="80">
        <f t="shared" si="0"/>
        <v>0</v>
      </c>
      <c r="N23" s="28"/>
    </row>
    <row r="24" spans="1:14" customFormat="1">
      <c r="A24" s="75">
        <v>22</v>
      </c>
      <c r="B24" s="76" t="s">
        <v>1502</v>
      </c>
      <c r="C24" s="76"/>
      <c r="D24" s="76"/>
      <c r="E24" s="76" t="s">
        <v>1511</v>
      </c>
      <c r="F24" s="76" t="s">
        <v>1469</v>
      </c>
      <c r="G24" s="76" t="s">
        <v>1512</v>
      </c>
      <c r="H24" s="76" t="s">
        <v>1512</v>
      </c>
      <c r="I24" s="28">
        <v>0</v>
      </c>
      <c r="J24" s="28" t="s">
        <v>1388</v>
      </c>
      <c r="K24" s="54">
        <v>12600</v>
      </c>
      <c r="L24" s="54">
        <v>12600</v>
      </c>
      <c r="M24" s="80">
        <f t="shared" si="0"/>
        <v>0</v>
      </c>
      <c r="N24" s="28"/>
    </row>
    <row r="25" spans="1:14" customFormat="1">
      <c r="A25" s="75">
        <v>23</v>
      </c>
      <c r="B25" s="76" t="s">
        <v>1466</v>
      </c>
      <c r="C25" s="76"/>
      <c r="D25" s="76"/>
      <c r="E25" s="76" t="s">
        <v>1513</v>
      </c>
      <c r="F25" s="76" t="s">
        <v>1469</v>
      </c>
      <c r="G25" s="76" t="s">
        <v>1512</v>
      </c>
      <c r="H25" s="76" t="s">
        <v>1512</v>
      </c>
      <c r="I25" s="28">
        <v>0</v>
      </c>
      <c r="J25" s="28" t="s">
        <v>1388</v>
      </c>
      <c r="K25" s="54">
        <v>36400</v>
      </c>
      <c r="L25" s="54">
        <v>36400</v>
      </c>
      <c r="M25" s="80">
        <f t="shared" si="0"/>
        <v>0</v>
      </c>
      <c r="N25" s="28"/>
    </row>
    <row r="26" spans="1:14" customFormat="1">
      <c r="A26" s="75">
        <v>24</v>
      </c>
      <c r="B26" s="76" t="s">
        <v>1470</v>
      </c>
      <c r="C26" s="76"/>
      <c r="D26" s="76"/>
      <c r="E26" s="76" t="s">
        <v>1514</v>
      </c>
      <c r="F26" s="76" t="s">
        <v>1512</v>
      </c>
      <c r="G26" s="76" t="s">
        <v>1515</v>
      </c>
      <c r="H26" s="76" t="s">
        <v>1515</v>
      </c>
      <c r="I26" s="28">
        <v>0</v>
      </c>
      <c r="J26" s="28" t="s">
        <v>1388</v>
      </c>
      <c r="K26" s="54">
        <v>79300</v>
      </c>
      <c r="L26" s="54">
        <v>79300</v>
      </c>
      <c r="M26" s="80">
        <f t="shared" si="0"/>
        <v>0</v>
      </c>
      <c r="N26" s="28"/>
    </row>
    <row r="27" spans="1:14" customFormat="1">
      <c r="A27" s="75">
        <v>25</v>
      </c>
      <c r="B27" s="76" t="s">
        <v>1500</v>
      </c>
      <c r="C27" s="76"/>
      <c r="D27" s="76"/>
      <c r="E27" s="76" t="s">
        <v>1516</v>
      </c>
      <c r="F27" s="76" t="s">
        <v>1517</v>
      </c>
      <c r="G27" s="76" t="s">
        <v>1510</v>
      </c>
      <c r="H27" s="76" t="s">
        <v>1510</v>
      </c>
      <c r="I27" s="28">
        <v>0</v>
      </c>
      <c r="J27" s="28" t="s">
        <v>1388</v>
      </c>
      <c r="K27" s="54">
        <v>289300</v>
      </c>
      <c r="L27" s="54">
        <v>289300</v>
      </c>
      <c r="M27" s="80">
        <f t="shared" si="0"/>
        <v>0</v>
      </c>
      <c r="N27" s="28"/>
    </row>
    <row r="28" spans="1:14" customFormat="1">
      <c r="A28" s="75">
        <v>26</v>
      </c>
      <c r="B28" s="76" t="s">
        <v>1518</v>
      </c>
      <c r="C28" s="76"/>
      <c r="D28" s="76"/>
      <c r="E28" s="76" t="s">
        <v>1519</v>
      </c>
      <c r="F28" s="76" t="s">
        <v>1520</v>
      </c>
      <c r="G28" s="76" t="s">
        <v>1510</v>
      </c>
      <c r="H28" s="76" t="s">
        <v>1510</v>
      </c>
      <c r="I28" s="28">
        <v>0</v>
      </c>
      <c r="J28" s="28" t="s">
        <v>1388</v>
      </c>
      <c r="K28" s="54">
        <v>18900</v>
      </c>
      <c r="L28" s="54">
        <v>18900</v>
      </c>
      <c r="M28" s="80">
        <f t="shared" si="0"/>
        <v>0</v>
      </c>
      <c r="N28" s="28"/>
    </row>
    <row r="29" spans="1:14" customFormat="1">
      <c r="A29" s="75">
        <v>27</v>
      </c>
      <c r="B29" s="76" t="s">
        <v>1476</v>
      </c>
      <c r="C29" s="76"/>
      <c r="D29" s="76"/>
      <c r="E29" s="76" t="s">
        <v>1521</v>
      </c>
      <c r="F29" s="76" t="s">
        <v>1522</v>
      </c>
      <c r="G29" s="76" t="s">
        <v>1510</v>
      </c>
      <c r="H29" s="76" t="s">
        <v>1510</v>
      </c>
      <c r="I29" s="28">
        <v>0</v>
      </c>
      <c r="J29" s="28" t="s">
        <v>1388</v>
      </c>
      <c r="K29" s="54">
        <v>2459800</v>
      </c>
      <c r="L29" s="54">
        <v>2459800</v>
      </c>
      <c r="M29" s="80">
        <f t="shared" si="0"/>
        <v>0</v>
      </c>
      <c r="N29" s="28"/>
    </row>
    <row r="30" spans="1:14" customFormat="1">
      <c r="A30" s="75">
        <v>28</v>
      </c>
      <c r="B30" s="76" t="s">
        <v>1476</v>
      </c>
      <c r="C30" s="76"/>
      <c r="D30" s="76"/>
      <c r="E30" s="76" t="s">
        <v>1523</v>
      </c>
      <c r="F30" s="76" t="s">
        <v>1524</v>
      </c>
      <c r="G30" s="76" t="s">
        <v>1525</v>
      </c>
      <c r="H30" s="76" t="s">
        <v>1525</v>
      </c>
      <c r="I30" s="28">
        <v>0</v>
      </c>
      <c r="J30" s="28" t="s">
        <v>1388</v>
      </c>
      <c r="K30" s="54">
        <v>1062600</v>
      </c>
      <c r="L30" s="54">
        <v>1062600</v>
      </c>
      <c r="M30" s="80">
        <f t="shared" si="0"/>
        <v>0</v>
      </c>
      <c r="N30" s="28"/>
    </row>
    <row r="31" spans="1:14" customFormat="1">
      <c r="A31" s="75">
        <v>29</v>
      </c>
      <c r="B31" s="76" t="s">
        <v>1466</v>
      </c>
      <c r="C31" s="76"/>
      <c r="D31" s="76"/>
      <c r="E31" s="76" t="s">
        <v>1526</v>
      </c>
      <c r="F31" s="76" t="s">
        <v>1525</v>
      </c>
      <c r="G31" s="76" t="s">
        <v>1527</v>
      </c>
      <c r="H31" s="76" t="s">
        <v>1527</v>
      </c>
      <c r="I31" s="28">
        <v>0</v>
      </c>
      <c r="J31" s="28" t="s">
        <v>1388</v>
      </c>
      <c r="K31" s="54">
        <v>150000</v>
      </c>
      <c r="L31" s="54">
        <v>150000</v>
      </c>
      <c r="M31" s="80">
        <f t="shared" si="0"/>
        <v>0</v>
      </c>
      <c r="N31" s="28"/>
    </row>
    <row r="32" spans="1:14" customFormat="1">
      <c r="A32" s="75">
        <v>30</v>
      </c>
      <c r="B32" s="76" t="s">
        <v>1528</v>
      </c>
      <c r="C32" s="76"/>
      <c r="D32" s="76"/>
      <c r="E32" s="76" t="s">
        <v>1529</v>
      </c>
      <c r="F32" s="76" t="s">
        <v>1525</v>
      </c>
      <c r="G32" s="76" t="s">
        <v>1527</v>
      </c>
      <c r="H32" s="76" t="s">
        <v>1527</v>
      </c>
      <c r="I32" s="75">
        <v>0</v>
      </c>
      <c r="J32" s="28" t="s">
        <v>1388</v>
      </c>
      <c r="K32" s="54">
        <v>100000</v>
      </c>
      <c r="L32" s="54">
        <v>100000</v>
      </c>
      <c r="M32" s="80">
        <f t="shared" si="0"/>
        <v>0</v>
      </c>
      <c r="N32" s="28"/>
    </row>
    <row r="33" spans="1:14" customFormat="1" ht="18" customHeight="1">
      <c r="A33" s="75">
        <v>31</v>
      </c>
      <c r="B33" s="76" t="s">
        <v>1530</v>
      </c>
      <c r="C33" s="76"/>
      <c r="D33" s="76"/>
      <c r="E33" s="76" t="s">
        <v>1531</v>
      </c>
      <c r="F33" s="76" t="s">
        <v>1525</v>
      </c>
      <c r="G33" s="76" t="s">
        <v>1532</v>
      </c>
      <c r="H33" s="76" t="s">
        <v>1532</v>
      </c>
      <c r="I33" s="28">
        <v>0</v>
      </c>
      <c r="J33" s="28" t="s">
        <v>1388</v>
      </c>
      <c r="K33" s="54">
        <v>129900</v>
      </c>
      <c r="L33" s="54">
        <v>129900</v>
      </c>
      <c r="M33" s="80">
        <f t="shared" si="0"/>
        <v>0</v>
      </c>
      <c r="N33" s="28"/>
    </row>
    <row r="34" spans="1:14" customFormat="1" ht="24" customHeight="1">
      <c r="A34" s="75">
        <v>32</v>
      </c>
      <c r="B34" s="76" t="s">
        <v>1507</v>
      </c>
      <c r="C34" s="76"/>
      <c r="D34" s="76"/>
      <c r="E34" s="76" t="s">
        <v>1533</v>
      </c>
      <c r="F34" s="76" t="s">
        <v>1525</v>
      </c>
      <c r="G34" s="76" t="s">
        <v>1534</v>
      </c>
      <c r="H34" s="76" t="s">
        <v>1534</v>
      </c>
      <c r="I34" s="75">
        <v>0</v>
      </c>
      <c r="J34" s="28" t="s">
        <v>1388</v>
      </c>
      <c r="K34" s="54">
        <v>76500</v>
      </c>
      <c r="L34" s="54">
        <v>76500</v>
      </c>
      <c r="M34" s="80">
        <f t="shared" si="0"/>
        <v>0</v>
      </c>
      <c r="N34" s="28"/>
    </row>
    <row r="35" spans="1:14" customFormat="1" ht="21.75" customHeight="1">
      <c r="A35" s="75">
        <v>33</v>
      </c>
      <c r="B35" s="76" t="s">
        <v>1528</v>
      </c>
      <c r="C35" s="76"/>
      <c r="D35" s="76"/>
      <c r="E35" s="76" t="s">
        <v>1535</v>
      </c>
      <c r="F35" s="76" t="s">
        <v>1527</v>
      </c>
      <c r="G35" s="76" t="s">
        <v>1536</v>
      </c>
      <c r="H35" s="76" t="s">
        <v>1536</v>
      </c>
      <c r="I35" s="28">
        <v>0</v>
      </c>
      <c r="J35" s="28" t="s">
        <v>1388</v>
      </c>
      <c r="K35" s="54">
        <v>369500</v>
      </c>
      <c r="L35" s="54">
        <v>369500</v>
      </c>
      <c r="M35" s="80">
        <f t="shared" si="0"/>
        <v>0</v>
      </c>
      <c r="N35" s="28"/>
    </row>
    <row r="36" spans="1:14" customFormat="1">
      <c r="A36" s="75">
        <v>34</v>
      </c>
      <c r="B36" s="76" t="s">
        <v>1491</v>
      </c>
      <c r="C36" s="76"/>
      <c r="D36" s="76"/>
      <c r="E36" s="76" t="s">
        <v>1537</v>
      </c>
      <c r="F36" s="76" t="s">
        <v>1534</v>
      </c>
      <c r="G36" s="76" t="s">
        <v>1538</v>
      </c>
      <c r="H36" s="76" t="s">
        <v>1538</v>
      </c>
      <c r="I36" s="75">
        <v>0</v>
      </c>
      <c r="J36" s="28" t="s">
        <v>1388</v>
      </c>
      <c r="K36" s="54">
        <v>20000</v>
      </c>
      <c r="L36" s="54">
        <v>20000</v>
      </c>
      <c r="M36" s="80">
        <f t="shared" si="0"/>
        <v>0</v>
      </c>
      <c r="N36" s="28"/>
    </row>
    <row r="37" spans="1:14" customFormat="1">
      <c r="A37" s="75">
        <v>35</v>
      </c>
      <c r="B37" s="76" t="s">
        <v>1472</v>
      </c>
      <c r="C37" s="76"/>
      <c r="D37" s="76"/>
      <c r="E37" s="76" t="s">
        <v>1539</v>
      </c>
      <c r="F37" s="76" t="s">
        <v>1532</v>
      </c>
      <c r="G37" s="76" t="s">
        <v>1540</v>
      </c>
      <c r="H37" s="76" t="s">
        <v>1540</v>
      </c>
      <c r="I37" s="28">
        <v>0</v>
      </c>
      <c r="J37" s="28" t="s">
        <v>1388</v>
      </c>
      <c r="K37" s="54">
        <v>189000</v>
      </c>
      <c r="L37" s="54">
        <v>189000</v>
      </c>
      <c r="M37" s="80">
        <f t="shared" si="0"/>
        <v>0</v>
      </c>
      <c r="N37" s="28"/>
    </row>
    <row r="38" spans="1:14" customFormat="1">
      <c r="A38" s="75">
        <v>36</v>
      </c>
      <c r="B38" s="76" t="s">
        <v>1500</v>
      </c>
      <c r="C38" s="76"/>
      <c r="D38" s="76"/>
      <c r="E38" s="76" t="s">
        <v>1541</v>
      </c>
      <c r="F38" s="76" t="s">
        <v>1542</v>
      </c>
      <c r="G38" s="76" t="s">
        <v>1540</v>
      </c>
      <c r="H38" s="76" t="s">
        <v>1540</v>
      </c>
      <c r="I38" s="75">
        <v>0</v>
      </c>
      <c r="J38" s="28" t="s">
        <v>1388</v>
      </c>
      <c r="K38" s="54">
        <v>207100</v>
      </c>
      <c r="L38" s="54">
        <v>207100</v>
      </c>
      <c r="M38" s="80">
        <f t="shared" si="0"/>
        <v>0</v>
      </c>
      <c r="N38" s="28"/>
    </row>
    <row r="39" spans="1:14" customFormat="1">
      <c r="A39" s="75">
        <v>37</v>
      </c>
      <c r="B39" s="76" t="s">
        <v>1543</v>
      </c>
      <c r="C39" s="76"/>
      <c r="D39" s="76"/>
      <c r="E39" s="76" t="s">
        <v>1544</v>
      </c>
      <c r="F39" s="76" t="s">
        <v>1540</v>
      </c>
      <c r="G39" s="76" t="s">
        <v>1538</v>
      </c>
      <c r="H39" s="76" t="s">
        <v>1538</v>
      </c>
      <c r="I39" s="28">
        <v>0</v>
      </c>
      <c r="J39" s="28" t="s">
        <v>1388</v>
      </c>
      <c r="K39" s="54">
        <v>85538</v>
      </c>
      <c r="L39" s="54">
        <v>85538</v>
      </c>
      <c r="M39" s="80">
        <f t="shared" si="0"/>
        <v>0</v>
      </c>
      <c r="N39" s="28"/>
    </row>
    <row r="40" spans="1:14" customFormat="1">
      <c r="A40" s="75">
        <v>38</v>
      </c>
      <c r="B40" s="76" t="s">
        <v>1545</v>
      </c>
      <c r="C40" s="76"/>
      <c r="D40" s="76"/>
      <c r="E40" s="76" t="s">
        <v>1546</v>
      </c>
      <c r="F40" s="76" t="s">
        <v>1547</v>
      </c>
      <c r="G40" s="76" t="s">
        <v>1548</v>
      </c>
      <c r="H40" s="76" t="s">
        <v>1548</v>
      </c>
      <c r="I40" s="75">
        <v>0</v>
      </c>
      <c r="J40" s="28" t="s">
        <v>1388</v>
      </c>
      <c r="K40" s="54">
        <v>50000</v>
      </c>
      <c r="L40" s="54">
        <v>50000</v>
      </c>
      <c r="M40" s="80">
        <f t="shared" si="0"/>
        <v>0</v>
      </c>
      <c r="N40" s="28"/>
    </row>
    <row r="41" spans="1:14" customFormat="1">
      <c r="A41" s="75">
        <v>39</v>
      </c>
      <c r="B41" s="76" t="s">
        <v>1507</v>
      </c>
      <c r="C41" s="76"/>
      <c r="D41" s="76"/>
      <c r="E41" s="76" t="s">
        <v>1549</v>
      </c>
      <c r="F41" s="76" t="s">
        <v>1550</v>
      </c>
      <c r="G41" s="76" t="s">
        <v>1551</v>
      </c>
      <c r="H41" s="76" t="s">
        <v>1551</v>
      </c>
      <c r="I41" s="28">
        <v>0</v>
      </c>
      <c r="J41" s="28" t="s">
        <v>1388</v>
      </c>
      <c r="K41" s="54">
        <v>90500</v>
      </c>
      <c r="L41" s="54">
        <v>90500</v>
      </c>
      <c r="M41" s="80">
        <f t="shared" si="0"/>
        <v>0</v>
      </c>
      <c r="N41" s="28"/>
    </row>
    <row r="42" spans="1:14" customFormat="1">
      <c r="A42" s="75">
        <v>40</v>
      </c>
      <c r="B42" s="76" t="s">
        <v>1500</v>
      </c>
      <c r="C42" s="76"/>
      <c r="D42" s="76"/>
      <c r="E42" s="76" t="s">
        <v>1552</v>
      </c>
      <c r="F42" s="76" t="s">
        <v>1553</v>
      </c>
      <c r="G42" s="76" t="s">
        <v>1538</v>
      </c>
      <c r="H42" s="76" t="s">
        <v>1538</v>
      </c>
      <c r="I42" s="75">
        <v>0</v>
      </c>
      <c r="J42" s="28" t="s">
        <v>1388</v>
      </c>
      <c r="K42" s="54">
        <v>11200</v>
      </c>
      <c r="L42" s="54">
        <v>11200</v>
      </c>
      <c r="M42" s="80">
        <f t="shared" si="0"/>
        <v>0</v>
      </c>
      <c r="N42" s="28"/>
    </row>
    <row r="43" spans="1:14" customFormat="1">
      <c r="A43" s="75">
        <v>41</v>
      </c>
      <c r="B43" s="76" t="s">
        <v>1466</v>
      </c>
      <c r="C43" s="76"/>
      <c r="D43" s="76"/>
      <c r="E43" s="76" t="s">
        <v>1554</v>
      </c>
      <c r="F43" s="76" t="s">
        <v>1553</v>
      </c>
      <c r="G43" s="76" t="s">
        <v>1538</v>
      </c>
      <c r="H43" s="76" t="s">
        <v>1538</v>
      </c>
      <c r="I43" s="28">
        <v>0</v>
      </c>
      <c r="J43" s="28" t="s">
        <v>1388</v>
      </c>
      <c r="K43" s="54">
        <v>18200</v>
      </c>
      <c r="L43" s="54">
        <v>18200</v>
      </c>
      <c r="M43" s="80">
        <f t="shared" si="0"/>
        <v>0</v>
      </c>
      <c r="N43" s="28"/>
    </row>
    <row r="44" spans="1:14" customFormat="1">
      <c r="A44" s="75">
        <v>42</v>
      </c>
      <c r="B44" s="76" t="s">
        <v>1502</v>
      </c>
      <c r="C44" s="76"/>
      <c r="D44" s="76"/>
      <c r="E44" s="76" t="s">
        <v>1555</v>
      </c>
      <c r="F44" s="76" t="s">
        <v>1553</v>
      </c>
      <c r="G44" s="76" t="s">
        <v>1538</v>
      </c>
      <c r="H44" s="76" t="s">
        <v>1538</v>
      </c>
      <c r="I44" s="75">
        <v>0</v>
      </c>
      <c r="J44" s="28" t="s">
        <v>1388</v>
      </c>
      <c r="K44" s="54">
        <v>6300</v>
      </c>
      <c r="L44" s="54">
        <v>6300</v>
      </c>
      <c r="M44" s="80">
        <f t="shared" si="0"/>
        <v>0</v>
      </c>
      <c r="N44" s="28"/>
    </row>
    <row r="45" spans="1:14" customFormat="1">
      <c r="A45" s="75">
        <v>43</v>
      </c>
      <c r="B45" s="76" t="s">
        <v>1556</v>
      </c>
      <c r="C45" s="76"/>
      <c r="D45" s="76"/>
      <c r="E45" s="76" t="s">
        <v>1557</v>
      </c>
      <c r="F45" s="76" t="s">
        <v>1553</v>
      </c>
      <c r="G45" s="76" t="s">
        <v>1538</v>
      </c>
      <c r="H45" s="76" t="s">
        <v>1538</v>
      </c>
      <c r="I45" s="28">
        <v>0</v>
      </c>
      <c r="J45" s="28" t="s">
        <v>1388</v>
      </c>
      <c r="K45" s="54">
        <v>35400</v>
      </c>
      <c r="L45" s="54">
        <v>35400</v>
      </c>
      <c r="M45" s="80">
        <f t="shared" si="0"/>
        <v>0</v>
      </c>
      <c r="N45" s="28"/>
    </row>
    <row r="46" spans="1:14" customFormat="1">
      <c r="A46" s="75">
        <v>44</v>
      </c>
      <c r="B46" s="76" t="s">
        <v>1491</v>
      </c>
      <c r="C46" s="76"/>
      <c r="D46" s="76"/>
      <c r="E46" s="76" t="s">
        <v>1558</v>
      </c>
      <c r="F46" s="76" t="s">
        <v>1538</v>
      </c>
      <c r="G46" s="76" t="s">
        <v>1559</v>
      </c>
      <c r="H46" s="76" t="s">
        <v>1559</v>
      </c>
      <c r="I46" s="75">
        <v>0</v>
      </c>
      <c r="J46" s="28" t="s">
        <v>1388</v>
      </c>
      <c r="K46" s="54">
        <v>20000</v>
      </c>
      <c r="L46" s="54">
        <v>20000</v>
      </c>
      <c r="M46" s="80">
        <f t="shared" si="0"/>
        <v>0</v>
      </c>
      <c r="N46" s="28"/>
    </row>
    <row r="47" spans="1:14" customFormat="1">
      <c r="A47" s="75">
        <v>45</v>
      </c>
      <c r="B47" s="76" t="s">
        <v>1500</v>
      </c>
      <c r="C47" s="76"/>
      <c r="D47" s="76"/>
      <c r="E47" s="76" t="s">
        <v>1560</v>
      </c>
      <c r="F47" s="76" t="s">
        <v>1551</v>
      </c>
      <c r="G47" s="76" t="s">
        <v>1559</v>
      </c>
      <c r="H47" s="76" t="s">
        <v>1559</v>
      </c>
      <c r="I47" s="28">
        <v>0</v>
      </c>
      <c r="J47" s="28" t="s">
        <v>1388</v>
      </c>
      <c r="K47" s="54">
        <v>200000</v>
      </c>
      <c r="L47" s="54">
        <v>200000</v>
      </c>
      <c r="M47" s="80">
        <f t="shared" si="0"/>
        <v>0</v>
      </c>
      <c r="N47" s="28"/>
    </row>
    <row r="48" spans="1:14" customFormat="1">
      <c r="A48" s="75">
        <v>46</v>
      </c>
      <c r="B48" s="76" t="s">
        <v>1472</v>
      </c>
      <c r="C48" s="76"/>
      <c r="D48" s="76"/>
      <c r="E48" s="76" t="s">
        <v>1561</v>
      </c>
      <c r="F48" s="76" t="s">
        <v>1562</v>
      </c>
      <c r="G48" s="76" t="s">
        <v>1563</v>
      </c>
      <c r="H48" s="76" t="s">
        <v>1563</v>
      </c>
      <c r="I48" s="75">
        <v>0</v>
      </c>
      <c r="J48" s="28" t="s">
        <v>1388</v>
      </c>
      <c r="K48" s="54">
        <v>3126000</v>
      </c>
      <c r="L48" s="54">
        <v>3126000</v>
      </c>
      <c r="M48" s="80">
        <f t="shared" si="0"/>
        <v>0</v>
      </c>
      <c r="N48" s="28"/>
    </row>
    <row r="49" spans="1:14" customFormat="1">
      <c r="A49" s="75">
        <v>47</v>
      </c>
      <c r="B49" s="76" t="s">
        <v>1472</v>
      </c>
      <c r="C49" s="76"/>
      <c r="D49" s="76"/>
      <c r="E49" s="76" t="s">
        <v>1564</v>
      </c>
      <c r="F49" s="76" t="s">
        <v>1548</v>
      </c>
      <c r="G49" s="76" t="s">
        <v>1565</v>
      </c>
      <c r="H49" s="76" t="s">
        <v>1565</v>
      </c>
      <c r="I49" s="28">
        <v>0</v>
      </c>
      <c r="J49" s="28" t="s">
        <v>1388</v>
      </c>
      <c r="K49" s="54">
        <v>508000</v>
      </c>
      <c r="L49" s="54">
        <v>508000</v>
      </c>
      <c r="M49" s="80">
        <f t="shared" si="0"/>
        <v>0</v>
      </c>
      <c r="N49" s="28"/>
    </row>
    <row r="50" spans="1:14" customFormat="1">
      <c r="A50" s="75">
        <v>48</v>
      </c>
      <c r="B50" s="76" t="s">
        <v>1470</v>
      </c>
      <c r="C50" s="76"/>
      <c r="D50" s="76"/>
      <c r="E50" s="76" t="s">
        <v>1566</v>
      </c>
      <c r="F50" s="76" t="s">
        <v>1567</v>
      </c>
      <c r="G50" s="76" t="s">
        <v>1568</v>
      </c>
      <c r="H50" s="76" t="s">
        <v>1568</v>
      </c>
      <c r="I50" s="75">
        <v>0</v>
      </c>
      <c r="J50" s="28" t="s">
        <v>1388</v>
      </c>
      <c r="K50" s="54">
        <v>95284</v>
      </c>
      <c r="L50" s="54">
        <v>95284</v>
      </c>
      <c r="M50" s="80">
        <f t="shared" si="0"/>
        <v>0</v>
      </c>
      <c r="N50" s="28"/>
    </row>
    <row r="51" spans="1:14" customFormat="1">
      <c r="A51" s="75">
        <v>49</v>
      </c>
      <c r="B51" s="76" t="s">
        <v>1466</v>
      </c>
      <c r="C51" s="76"/>
      <c r="D51" s="76"/>
      <c r="E51" s="76" t="s">
        <v>1569</v>
      </c>
      <c r="F51" s="76" t="s">
        <v>1567</v>
      </c>
      <c r="G51" s="76" t="s">
        <v>1570</v>
      </c>
      <c r="H51" s="76" t="s">
        <v>1570</v>
      </c>
      <c r="I51" s="28">
        <v>0</v>
      </c>
      <c r="J51" s="28" t="s">
        <v>1388</v>
      </c>
      <c r="K51" s="54">
        <v>138200</v>
      </c>
      <c r="L51" s="54">
        <v>138200</v>
      </c>
      <c r="M51" s="80">
        <f t="shared" si="0"/>
        <v>0</v>
      </c>
      <c r="N51" s="28"/>
    </row>
    <row r="52" spans="1:14" customFormat="1">
      <c r="A52" s="75">
        <v>50</v>
      </c>
      <c r="B52" s="76" t="s">
        <v>1472</v>
      </c>
      <c r="C52" s="76"/>
      <c r="D52" s="76"/>
      <c r="E52" s="76" t="s">
        <v>1571</v>
      </c>
      <c r="F52" s="76" t="s">
        <v>1567</v>
      </c>
      <c r="G52" s="76" t="s">
        <v>1563</v>
      </c>
      <c r="H52" s="76" t="s">
        <v>1563</v>
      </c>
      <c r="I52" s="75">
        <v>0</v>
      </c>
      <c r="J52" s="28" t="s">
        <v>1388</v>
      </c>
      <c r="K52" s="54">
        <v>914200</v>
      </c>
      <c r="L52" s="54">
        <v>914200</v>
      </c>
      <c r="M52" s="80">
        <f t="shared" si="0"/>
        <v>0</v>
      </c>
      <c r="N52" s="28"/>
    </row>
    <row r="53" spans="1:14" customFormat="1">
      <c r="A53" s="75">
        <v>51</v>
      </c>
      <c r="B53" s="76" t="s">
        <v>1572</v>
      </c>
      <c r="C53" s="76"/>
      <c r="D53" s="76"/>
      <c r="E53" s="76" t="s">
        <v>1573</v>
      </c>
      <c r="F53" s="76" t="s">
        <v>1567</v>
      </c>
      <c r="G53" s="76" t="s">
        <v>1574</v>
      </c>
      <c r="H53" s="76" t="s">
        <v>1574</v>
      </c>
      <c r="I53" s="28">
        <v>0</v>
      </c>
      <c r="J53" s="28" t="s">
        <v>1388</v>
      </c>
      <c r="K53" s="54">
        <v>245000</v>
      </c>
      <c r="L53" s="54">
        <v>245000</v>
      </c>
      <c r="M53" s="80">
        <f t="shared" si="0"/>
        <v>0</v>
      </c>
      <c r="N53" s="28"/>
    </row>
    <row r="54" spans="1:14" customFormat="1">
      <c r="A54" s="75">
        <v>52</v>
      </c>
      <c r="B54" s="76" t="s">
        <v>1575</v>
      </c>
      <c r="C54" s="76"/>
      <c r="D54" s="76"/>
      <c r="E54" s="76" t="s">
        <v>1576</v>
      </c>
      <c r="F54" s="76" t="s">
        <v>1567</v>
      </c>
      <c r="G54" s="76" t="s">
        <v>1570</v>
      </c>
      <c r="H54" s="76" t="s">
        <v>1570</v>
      </c>
      <c r="I54" s="75">
        <v>0</v>
      </c>
      <c r="J54" s="28" t="s">
        <v>1388</v>
      </c>
      <c r="K54" s="54">
        <v>295400</v>
      </c>
      <c r="L54" s="54">
        <v>295400</v>
      </c>
      <c r="M54" s="80">
        <f t="shared" si="0"/>
        <v>0</v>
      </c>
      <c r="N54" s="28"/>
    </row>
    <row r="55" spans="1:14" customFormat="1">
      <c r="A55" s="75">
        <v>53</v>
      </c>
      <c r="B55" s="76" t="s">
        <v>1480</v>
      </c>
      <c r="C55" s="76"/>
      <c r="D55" s="76"/>
      <c r="E55" s="76" t="s">
        <v>1577</v>
      </c>
      <c r="F55" s="76" t="s">
        <v>1567</v>
      </c>
      <c r="G55" s="76" t="s">
        <v>1578</v>
      </c>
      <c r="H55" s="76" t="s">
        <v>1578</v>
      </c>
      <c r="I55" s="28">
        <v>0</v>
      </c>
      <c r="J55" s="28" t="s">
        <v>1388</v>
      </c>
      <c r="K55" s="54">
        <v>2681000</v>
      </c>
      <c r="L55" s="54">
        <v>2681000</v>
      </c>
      <c r="M55" s="80">
        <f t="shared" si="0"/>
        <v>0</v>
      </c>
      <c r="N55" s="28"/>
    </row>
    <row r="56" spans="1:14">
      <c r="K56" s="81">
        <f>SUM(K3:K55)</f>
        <v>15152366</v>
      </c>
      <c r="L56" s="81">
        <f>SUM(L3:L55)</f>
        <v>15152366</v>
      </c>
    </row>
    <row r="59" spans="1:14" customFormat="1" ht="18" customHeight="1">
      <c r="A59" s="66" t="s">
        <v>1862</v>
      </c>
      <c r="B59" s="67"/>
      <c r="C59" s="67"/>
      <c r="D59" s="67"/>
      <c r="E59" s="66"/>
      <c r="F59" s="67"/>
      <c r="G59" s="67"/>
      <c r="H59" s="67"/>
      <c r="I59" s="67"/>
      <c r="J59" s="67"/>
      <c r="K59" s="36"/>
    </row>
    <row r="60" spans="1:14" customFormat="1" ht="24" customHeight="1">
      <c r="A60" s="66" t="s">
        <v>1863</v>
      </c>
      <c r="B60" s="67"/>
      <c r="C60" s="66"/>
      <c r="D60" s="67"/>
      <c r="E60" s="67"/>
      <c r="F60" s="67"/>
      <c r="G60" s="67"/>
      <c r="H60" s="67"/>
      <c r="I60" s="67"/>
      <c r="J60" s="67"/>
      <c r="K60" s="36"/>
    </row>
    <row r="61" spans="1:14" customFormat="1" ht="21.75" customHeight="1">
      <c r="A61" s="66" t="s">
        <v>1864</v>
      </c>
      <c r="B61" s="67"/>
      <c r="C61" s="66"/>
      <c r="D61" s="67"/>
      <c r="E61" s="67"/>
      <c r="F61" s="67"/>
      <c r="G61" s="67"/>
      <c r="H61" s="67"/>
      <c r="I61" s="67"/>
      <c r="J61" s="67"/>
      <c r="K61" s="36"/>
    </row>
  </sheetData>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11"/>
  <sheetViews>
    <sheetView workbookViewId="0">
      <selection activeCell="J9" sqref="J9"/>
    </sheetView>
  </sheetViews>
  <sheetFormatPr defaultColWidth="9" defaultRowHeight="14.4"/>
  <sheetData>
    <row r="1" spans="1:21" ht="17.399999999999999">
      <c r="A1" s="7" t="s">
        <v>1579</v>
      </c>
    </row>
    <row r="2" spans="1:21" ht="187.2">
      <c r="A2" s="74"/>
      <c r="B2" s="23" t="s">
        <v>1580</v>
      </c>
      <c r="C2" s="23" t="s">
        <v>1581</v>
      </c>
      <c r="D2" s="23" t="s">
        <v>1406</v>
      </c>
      <c r="E2" s="23" t="s">
        <v>1582</v>
      </c>
      <c r="F2" s="23" t="s">
        <v>1365</v>
      </c>
      <c r="G2" s="23" t="s">
        <v>1408</v>
      </c>
      <c r="H2" s="23" t="s">
        <v>1409</v>
      </c>
      <c r="I2" s="23" t="s">
        <v>1583</v>
      </c>
      <c r="J2" s="23" t="s">
        <v>1410</v>
      </c>
      <c r="K2" s="23" t="s">
        <v>1584</v>
      </c>
      <c r="L2" s="23" t="s">
        <v>1412</v>
      </c>
      <c r="M2" s="23" t="s">
        <v>1585</v>
      </c>
      <c r="N2" s="23" t="s">
        <v>1586</v>
      </c>
      <c r="O2" s="23" t="s">
        <v>1587</v>
      </c>
      <c r="P2" s="23" t="s">
        <v>1588</v>
      </c>
      <c r="Q2" s="23" t="s">
        <v>1417</v>
      </c>
      <c r="R2" s="23" t="s">
        <v>1589</v>
      </c>
      <c r="S2" s="23" t="s">
        <v>1419</v>
      </c>
      <c r="T2" s="23" t="s">
        <v>1420</v>
      </c>
      <c r="U2" s="23" t="s">
        <v>1590</v>
      </c>
    </row>
    <row r="3" spans="1:21">
      <c r="A3" s="24">
        <v>1</v>
      </c>
      <c r="B3" s="57" t="s">
        <v>84</v>
      </c>
      <c r="C3" s="57" t="s">
        <v>84</v>
      </c>
      <c r="D3" s="57" t="s">
        <v>84</v>
      </c>
      <c r="E3" s="57" t="s">
        <v>84</v>
      </c>
      <c r="F3" s="57" t="s">
        <v>84</v>
      </c>
      <c r="G3" s="57" t="s">
        <v>84</v>
      </c>
      <c r="H3" s="57" t="s">
        <v>84</v>
      </c>
      <c r="I3" s="57" t="s">
        <v>84</v>
      </c>
      <c r="J3" s="57" t="s">
        <v>84</v>
      </c>
      <c r="K3" s="57" t="s">
        <v>84</v>
      </c>
      <c r="L3" s="57" t="s">
        <v>84</v>
      </c>
      <c r="M3" s="57" t="s">
        <v>84</v>
      </c>
      <c r="N3" s="57" t="s">
        <v>84</v>
      </c>
      <c r="O3" s="57" t="s">
        <v>84</v>
      </c>
      <c r="P3" s="57" t="s">
        <v>84</v>
      </c>
      <c r="Q3" s="57" t="s">
        <v>84</v>
      </c>
      <c r="R3" s="57" t="s">
        <v>84</v>
      </c>
      <c r="S3" s="57" t="s">
        <v>84</v>
      </c>
      <c r="T3" s="57" t="s">
        <v>84</v>
      </c>
      <c r="U3" s="57" t="s">
        <v>84</v>
      </c>
    </row>
    <row r="4" spans="1:21">
      <c r="A4" s="26">
        <v>2</v>
      </c>
      <c r="B4" s="28"/>
      <c r="C4" s="28"/>
      <c r="D4" s="28"/>
      <c r="E4" s="28"/>
      <c r="F4" s="28"/>
      <c r="G4" s="28"/>
      <c r="H4" s="28"/>
      <c r="I4" s="28"/>
      <c r="J4" s="28"/>
      <c r="K4" s="28"/>
      <c r="L4" s="28"/>
      <c r="M4" s="28"/>
      <c r="N4" s="28"/>
      <c r="O4" s="28"/>
      <c r="P4" s="28"/>
      <c r="Q4" s="28"/>
      <c r="R4" s="28"/>
      <c r="S4" s="28"/>
      <c r="T4" s="28"/>
      <c r="U4" s="28"/>
    </row>
    <row r="5" spans="1:21">
      <c r="A5" s="26">
        <v>3</v>
      </c>
      <c r="B5" s="28"/>
      <c r="C5" s="28"/>
      <c r="D5" s="28"/>
      <c r="E5" s="28"/>
      <c r="F5" s="28"/>
      <c r="G5" s="28"/>
      <c r="H5" s="28"/>
      <c r="I5" s="28"/>
      <c r="J5" s="28"/>
      <c r="K5" s="28"/>
      <c r="L5" s="28"/>
      <c r="M5" s="28"/>
      <c r="N5" s="28"/>
      <c r="O5" s="28"/>
      <c r="P5" s="28"/>
      <c r="Q5" s="28"/>
      <c r="R5" s="28"/>
      <c r="S5" s="28"/>
      <c r="T5" s="28"/>
      <c r="U5" s="28"/>
    </row>
    <row r="6" spans="1:21">
      <c r="A6" s="26">
        <v>4</v>
      </c>
      <c r="B6" s="28"/>
      <c r="C6" s="28"/>
      <c r="D6" s="28"/>
      <c r="E6" s="28"/>
      <c r="F6" s="28"/>
      <c r="G6" s="28"/>
      <c r="H6" s="28"/>
      <c r="I6" s="28"/>
      <c r="J6" s="28"/>
      <c r="K6" s="28"/>
      <c r="L6" s="28"/>
      <c r="M6" s="28"/>
      <c r="N6" s="28"/>
      <c r="O6" s="28"/>
      <c r="P6" s="28"/>
      <c r="Q6" s="28"/>
      <c r="R6" s="28"/>
      <c r="S6" s="28"/>
      <c r="T6" s="28"/>
      <c r="U6" s="28"/>
    </row>
    <row r="7" spans="1:21">
      <c r="A7" s="26">
        <v>5</v>
      </c>
      <c r="B7" s="28"/>
      <c r="C7" s="28"/>
      <c r="D7" s="28"/>
      <c r="E7" s="28"/>
      <c r="F7" s="28"/>
      <c r="G7" s="28"/>
      <c r="H7" s="28"/>
      <c r="I7" s="28"/>
      <c r="J7" s="28"/>
      <c r="K7" s="28"/>
      <c r="L7" s="28"/>
      <c r="M7" s="28"/>
      <c r="N7" s="28"/>
      <c r="O7" s="28"/>
      <c r="P7" s="28"/>
      <c r="Q7" s="28"/>
      <c r="R7" s="28"/>
      <c r="S7" s="28"/>
      <c r="T7" s="28"/>
      <c r="U7" s="28"/>
    </row>
    <row r="8" spans="1:21">
      <c r="A8" s="21"/>
    </row>
    <row r="9" spans="1:21" ht="18" customHeight="1">
      <c r="A9" s="66" t="s">
        <v>1862</v>
      </c>
      <c r="B9" s="67"/>
      <c r="C9" s="67"/>
      <c r="D9" s="67"/>
      <c r="E9" s="66"/>
      <c r="F9" s="67"/>
      <c r="G9" s="67"/>
      <c r="H9" s="67"/>
      <c r="I9" s="67"/>
      <c r="J9" s="67"/>
      <c r="K9" s="36"/>
    </row>
    <row r="10" spans="1:21" ht="24" customHeight="1">
      <c r="A10" s="66" t="s">
        <v>1863</v>
      </c>
      <c r="B10" s="67"/>
      <c r="C10" s="66"/>
      <c r="D10" s="67"/>
      <c r="E10" s="67"/>
      <c r="F10" s="67"/>
      <c r="G10" s="67"/>
      <c r="H10" s="67"/>
      <c r="I10" s="67"/>
      <c r="J10" s="67"/>
      <c r="K10" s="36"/>
    </row>
    <row r="11" spans="1:21" ht="21.75" customHeight="1">
      <c r="A11" s="66" t="s">
        <v>1864</v>
      </c>
      <c r="B11" s="67"/>
      <c r="C11" s="66"/>
      <c r="D11" s="67"/>
      <c r="E11" s="67"/>
      <c r="F11" s="67"/>
      <c r="G11" s="67"/>
      <c r="H11" s="67"/>
      <c r="I11" s="67"/>
      <c r="J11" s="67"/>
      <c r="K11" s="36"/>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workbookViewId="0">
      <selection activeCell="F18" sqref="F18"/>
    </sheetView>
  </sheetViews>
  <sheetFormatPr defaultColWidth="9" defaultRowHeight="14.4"/>
  <cols>
    <col min="2" max="2" width="11.88671875" customWidth="1"/>
  </cols>
  <sheetData>
    <row r="1" spans="1:11" ht="17.399999999999999">
      <c r="A1" s="7" t="s">
        <v>1591</v>
      </c>
    </row>
    <row r="2" spans="1:11" ht="57.6">
      <c r="A2" s="35"/>
      <c r="B2" s="23" t="s">
        <v>1592</v>
      </c>
      <c r="C2" s="23" t="s">
        <v>1593</v>
      </c>
      <c r="D2" s="23" t="s">
        <v>1375</v>
      </c>
      <c r="E2" s="23" t="s">
        <v>1594</v>
      </c>
      <c r="F2" s="23" t="s">
        <v>1595</v>
      </c>
      <c r="G2" s="23" t="s">
        <v>79</v>
      </c>
    </row>
    <row r="3" spans="1:11">
      <c r="A3" s="24">
        <v>1</v>
      </c>
      <c r="B3" s="57" t="s">
        <v>84</v>
      </c>
      <c r="C3" s="57" t="s">
        <v>84</v>
      </c>
      <c r="D3" s="57" t="s">
        <v>84</v>
      </c>
      <c r="E3" s="57" t="s">
        <v>84</v>
      </c>
      <c r="F3" s="57" t="s">
        <v>84</v>
      </c>
      <c r="G3" s="57" t="s">
        <v>84</v>
      </c>
    </row>
    <row r="4" spans="1:11">
      <c r="A4" s="24">
        <v>2</v>
      </c>
      <c r="B4" s="34"/>
      <c r="C4" s="34"/>
      <c r="D4" s="34"/>
      <c r="E4" s="34"/>
      <c r="F4" s="34"/>
      <c r="G4" s="34"/>
    </row>
    <row r="5" spans="1:11">
      <c r="A5" s="24">
        <v>3</v>
      </c>
      <c r="B5" s="34"/>
      <c r="C5" s="34"/>
      <c r="D5" s="34"/>
      <c r="E5" s="34"/>
      <c r="F5" s="34"/>
      <c r="G5" s="34"/>
    </row>
    <row r="6" spans="1:11">
      <c r="A6" s="24">
        <v>4</v>
      </c>
      <c r="B6" s="34"/>
      <c r="C6" s="34"/>
      <c r="D6" s="34"/>
      <c r="E6" s="34"/>
      <c r="F6" s="34"/>
      <c r="G6" s="34"/>
    </row>
    <row r="7" spans="1:11">
      <c r="A7" s="24">
        <v>5</v>
      </c>
      <c r="B7" s="34"/>
      <c r="C7" s="34"/>
      <c r="D7" s="34"/>
      <c r="E7" s="34"/>
      <c r="F7" s="34"/>
      <c r="G7" s="34"/>
    </row>
    <row r="8" spans="1:11">
      <c r="A8" s="24">
        <v>6</v>
      </c>
      <c r="B8" s="34"/>
      <c r="C8" s="34"/>
      <c r="D8" s="34"/>
      <c r="E8" s="34"/>
      <c r="F8" s="34"/>
      <c r="G8" s="34"/>
    </row>
    <row r="9" spans="1:11">
      <c r="A9" s="24">
        <v>7</v>
      </c>
      <c r="B9" s="34"/>
      <c r="C9" s="34"/>
      <c r="D9" s="34"/>
      <c r="E9" s="34"/>
      <c r="F9" s="34"/>
      <c r="G9" s="34"/>
    </row>
    <row r="10" spans="1:11">
      <c r="A10" s="21"/>
    </row>
    <row r="11" spans="1:11" ht="14.25" customHeight="1">
      <c r="A11" s="21"/>
    </row>
    <row r="12" spans="1:11" ht="18" customHeight="1">
      <c r="A12" s="66" t="s">
        <v>1862</v>
      </c>
      <c r="B12" s="67"/>
      <c r="C12" s="67"/>
      <c r="D12" s="67"/>
      <c r="E12" s="66"/>
      <c r="F12" s="67"/>
      <c r="G12" s="67"/>
      <c r="H12" s="67"/>
      <c r="I12" s="67"/>
      <c r="J12" s="67"/>
      <c r="K12" s="36"/>
    </row>
    <row r="13" spans="1:11" ht="24" customHeight="1">
      <c r="A13" s="66" t="s">
        <v>1863</v>
      </c>
      <c r="B13" s="67"/>
      <c r="C13" s="66"/>
      <c r="D13" s="67"/>
      <c r="E13" s="67"/>
      <c r="F13" s="67"/>
      <c r="G13" s="67"/>
      <c r="H13" s="67"/>
      <c r="I13" s="67"/>
      <c r="J13" s="67"/>
      <c r="K13" s="36"/>
    </row>
    <row r="14" spans="1:11" ht="21.75" customHeight="1">
      <c r="A14" s="66" t="s">
        <v>1864</v>
      </c>
      <c r="B14" s="67"/>
      <c r="C14" s="66"/>
      <c r="D14" s="67"/>
      <c r="E14" s="67"/>
      <c r="F14" s="67"/>
      <c r="G14" s="67"/>
      <c r="H14" s="67"/>
      <c r="I14" s="67"/>
      <c r="J14" s="67"/>
      <c r="K14" s="36"/>
    </row>
    <row r="15" spans="1:11" ht="21.75" customHeight="1">
      <c r="A15" s="66"/>
      <c r="B15" s="67"/>
      <c r="C15" s="66"/>
      <c r="D15" s="67"/>
      <c r="E15" s="6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0"/>
  <sheetViews>
    <sheetView workbookViewId="0">
      <selection activeCell="C15" sqref="C15"/>
    </sheetView>
  </sheetViews>
  <sheetFormatPr defaultColWidth="9" defaultRowHeight="14.4"/>
  <cols>
    <col min="1" max="1" width="9" style="36"/>
    <col min="2" max="2" width="29.109375" style="36" customWidth="1"/>
    <col min="3" max="3" width="29.5546875" style="36" customWidth="1"/>
    <col min="4" max="5" width="20.33203125" style="36" customWidth="1"/>
    <col min="6" max="6" width="22.109375" style="36" customWidth="1"/>
    <col min="7" max="7" width="18.6640625" style="36" customWidth="1"/>
    <col min="8" max="16384" width="9" style="36"/>
  </cols>
  <sheetData>
    <row r="1" spans="1:11" ht="17.399999999999999">
      <c r="A1" s="61" t="s">
        <v>1596</v>
      </c>
    </row>
    <row r="2" spans="1:11" customFormat="1" ht="28.8">
      <c r="A2" s="35"/>
      <c r="B2" s="23" t="s">
        <v>1597</v>
      </c>
      <c r="C2" s="23" t="s">
        <v>1593</v>
      </c>
      <c r="D2" s="23" t="s">
        <v>1598</v>
      </c>
      <c r="E2" s="23" t="s">
        <v>1599</v>
      </c>
      <c r="F2" s="23" t="s">
        <v>1427</v>
      </c>
      <c r="G2" s="23" t="s">
        <v>79</v>
      </c>
    </row>
    <row r="3" spans="1:11" customFormat="1">
      <c r="A3" s="26">
        <v>1</v>
      </c>
      <c r="B3" s="28" t="str">
        <f>'[1]Accruals register '!B4</f>
        <v>AOG</v>
      </c>
      <c r="C3" s="28" t="str">
        <f>'[1]Accruals register '!C4</f>
        <v>AUDIT SERVICES</v>
      </c>
      <c r="D3" s="64">
        <v>1879200</v>
      </c>
      <c r="E3" s="28" t="str">
        <f>'[1]Accruals register '!E4</f>
        <v>Immediate</v>
      </c>
      <c r="F3" s="27" t="str">
        <f>'[1]Accruals register '!F4</f>
        <v xml:space="preserve">Over 30days </v>
      </c>
      <c r="G3" s="28">
        <f>'[1]Accruals register '!G4</f>
        <v>0</v>
      </c>
    </row>
    <row r="4" spans="1:11" customFormat="1" ht="21.75" customHeight="1">
      <c r="A4" s="70"/>
      <c r="B4" s="71"/>
      <c r="C4" s="70"/>
      <c r="D4" s="72">
        <f>SUM(D3:D3)</f>
        <v>1879200</v>
      </c>
      <c r="E4" s="71"/>
      <c r="F4" s="71"/>
      <c r="G4" s="71"/>
      <c r="H4" s="73"/>
      <c r="I4" s="73"/>
      <c r="J4" s="73"/>
      <c r="K4" s="36"/>
    </row>
    <row r="8" spans="1:11" customFormat="1" ht="18" customHeight="1">
      <c r="A8" s="66" t="s">
        <v>1862</v>
      </c>
      <c r="B8" s="67"/>
      <c r="C8" s="67"/>
      <c r="D8" s="67"/>
      <c r="E8" s="66"/>
      <c r="F8" s="67"/>
      <c r="G8" s="67"/>
      <c r="H8" s="67"/>
      <c r="I8" s="67"/>
      <c r="J8" s="67"/>
      <c r="K8" s="36"/>
    </row>
    <row r="9" spans="1:11" customFormat="1" ht="24" customHeight="1">
      <c r="A9" s="66" t="s">
        <v>1863</v>
      </c>
      <c r="B9" s="67"/>
      <c r="C9" s="66"/>
      <c r="D9" s="67"/>
      <c r="E9" s="67"/>
      <c r="F9" s="67"/>
      <c r="G9" s="67"/>
      <c r="H9" s="67"/>
      <c r="I9" s="67"/>
      <c r="J9" s="67"/>
      <c r="K9" s="36"/>
    </row>
    <row r="10" spans="1:11" customFormat="1" ht="21.75" customHeight="1">
      <c r="A10" s="66" t="s">
        <v>1864</v>
      </c>
      <c r="B10" s="67"/>
      <c r="C10" s="66"/>
      <c r="D10" s="67"/>
      <c r="E10" s="67"/>
      <c r="F10" s="67"/>
      <c r="G10" s="67"/>
      <c r="H10" s="67"/>
      <c r="I10" s="67"/>
      <c r="J10" s="67"/>
      <c r="K10" s="36"/>
    </row>
  </sheetData>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18"/>
  <sheetViews>
    <sheetView topLeftCell="A7" workbookViewId="0">
      <selection activeCell="C21" sqref="C21"/>
    </sheetView>
  </sheetViews>
  <sheetFormatPr defaultColWidth="9" defaultRowHeight="14.4"/>
  <cols>
    <col min="1" max="1" width="9" style="36"/>
    <col min="2" max="2" width="37.5546875" style="36" customWidth="1"/>
    <col min="3" max="3" width="17.5546875" style="36" customWidth="1"/>
    <col min="4" max="7" width="9" style="36"/>
    <col min="8" max="8" width="17" style="36" customWidth="1"/>
    <col min="9" max="10" width="9" style="36"/>
    <col min="11" max="11" width="24.44140625" style="36" customWidth="1"/>
    <col min="12" max="16384" width="9" style="36"/>
  </cols>
  <sheetData>
    <row r="1" spans="1:12" ht="17.399999999999999">
      <c r="A1" s="61" t="s">
        <v>1600</v>
      </c>
    </row>
    <row r="2" spans="1:12" customFormat="1" ht="57.6">
      <c r="A2" s="52"/>
      <c r="B2" s="10" t="s">
        <v>1601</v>
      </c>
      <c r="C2" s="10" t="s">
        <v>1423</v>
      </c>
      <c r="D2" s="10" t="s">
        <v>1431</v>
      </c>
      <c r="E2" s="10" t="s">
        <v>126</v>
      </c>
      <c r="F2" s="10" t="s">
        <v>1375</v>
      </c>
      <c r="G2" s="10" t="s">
        <v>1602</v>
      </c>
      <c r="H2" s="10" t="s">
        <v>1603</v>
      </c>
      <c r="I2" s="10" t="s">
        <v>1599</v>
      </c>
      <c r="J2" s="10" t="s">
        <v>1427</v>
      </c>
      <c r="K2" s="68" t="s">
        <v>79</v>
      </c>
      <c r="L2" s="69"/>
    </row>
    <row r="3" spans="1:12" customFormat="1">
      <c r="A3" s="62">
        <v>1</v>
      </c>
      <c r="B3" s="63" t="s">
        <v>1604</v>
      </c>
      <c r="C3" s="63" t="s">
        <v>1605</v>
      </c>
      <c r="D3" s="63"/>
      <c r="E3" s="63" t="s">
        <v>1606</v>
      </c>
      <c r="F3" s="63" t="s">
        <v>1607</v>
      </c>
      <c r="G3" s="63" t="s">
        <v>131</v>
      </c>
      <c r="H3" s="64">
        <v>1879200</v>
      </c>
      <c r="I3" s="63"/>
      <c r="J3" s="63"/>
      <c r="K3" s="63"/>
      <c r="L3" s="69"/>
    </row>
    <row r="4" spans="1:12" customFormat="1">
      <c r="A4" s="62">
        <v>2</v>
      </c>
      <c r="B4" s="4" t="s">
        <v>1608</v>
      </c>
      <c r="C4" s="63" t="s">
        <v>1609</v>
      </c>
      <c r="D4" s="4"/>
      <c r="E4" s="4" t="s">
        <v>1606</v>
      </c>
      <c r="F4" s="63" t="s">
        <v>1607</v>
      </c>
      <c r="G4" s="63" t="s">
        <v>131</v>
      </c>
      <c r="H4" s="64">
        <f>9956605.72-1500000+5036256.7-2000000-2000000-3000000+5036256.7-5000000</f>
        <v>6529119.120000001</v>
      </c>
      <c r="I4" s="4"/>
      <c r="J4" s="4"/>
      <c r="K4" s="4"/>
      <c r="L4" s="69"/>
    </row>
    <row r="5" spans="1:12" customFormat="1">
      <c r="A5" s="62">
        <v>3</v>
      </c>
      <c r="B5" s="4" t="s">
        <v>1610</v>
      </c>
      <c r="C5" s="63" t="s">
        <v>1611</v>
      </c>
      <c r="D5" s="4"/>
      <c r="E5" s="4" t="s">
        <v>1606</v>
      </c>
      <c r="F5" s="63" t="s">
        <v>1607</v>
      </c>
      <c r="G5" s="63" t="s">
        <v>131</v>
      </c>
      <c r="H5" s="64">
        <v>9371154</v>
      </c>
      <c r="I5" s="4"/>
      <c r="J5" s="4"/>
      <c r="K5" s="4"/>
      <c r="L5" s="69"/>
    </row>
    <row r="6" spans="1:12" customFormat="1" ht="24.75" customHeight="1">
      <c r="A6" s="62">
        <v>4</v>
      </c>
      <c r="B6" s="4" t="s">
        <v>1612</v>
      </c>
      <c r="C6" s="4" t="s">
        <v>1613</v>
      </c>
      <c r="D6" s="4"/>
      <c r="E6" s="4" t="s">
        <v>1606</v>
      </c>
      <c r="F6" s="63" t="s">
        <v>1607</v>
      </c>
      <c r="G6" s="4" t="s">
        <v>131</v>
      </c>
      <c r="H6" s="64">
        <v>250000</v>
      </c>
      <c r="I6" s="4"/>
      <c r="J6" s="4"/>
      <c r="K6" s="4"/>
      <c r="L6" s="69"/>
    </row>
    <row r="7" spans="1:12" customFormat="1" ht="24.75" customHeight="1">
      <c r="A7" s="62">
        <v>5</v>
      </c>
      <c r="B7" s="4" t="s">
        <v>1614</v>
      </c>
      <c r="C7" s="4" t="s">
        <v>1613</v>
      </c>
      <c r="D7" s="4"/>
      <c r="E7" s="4" t="s">
        <v>1606</v>
      </c>
      <c r="F7" s="63" t="s">
        <v>1607</v>
      </c>
      <c r="G7" s="4" t="s">
        <v>131</v>
      </c>
      <c r="H7" s="64">
        <v>557000</v>
      </c>
      <c r="I7" s="4"/>
      <c r="J7" s="4"/>
      <c r="K7" s="4"/>
      <c r="L7" s="69"/>
    </row>
    <row r="8" spans="1:12" customFormat="1" ht="24.75" customHeight="1">
      <c r="A8" s="62">
        <v>6</v>
      </c>
      <c r="B8" s="4" t="s">
        <v>1615</v>
      </c>
      <c r="C8" s="63" t="s">
        <v>1613</v>
      </c>
      <c r="D8" s="4"/>
      <c r="E8" s="63" t="s">
        <v>1606</v>
      </c>
      <c r="F8" s="4" t="s">
        <v>1607</v>
      </c>
      <c r="G8" s="4" t="s">
        <v>131</v>
      </c>
      <c r="H8" s="64">
        <v>870000</v>
      </c>
      <c r="I8" s="4"/>
      <c r="J8" s="4"/>
      <c r="K8" s="4"/>
      <c r="L8" s="69"/>
    </row>
    <row r="9" spans="1:12">
      <c r="A9" s="62">
        <v>7</v>
      </c>
      <c r="B9" s="4" t="s">
        <v>1616</v>
      </c>
      <c r="C9" s="63" t="s">
        <v>1613</v>
      </c>
      <c r="D9" s="4"/>
      <c r="E9" s="63" t="s">
        <v>1606</v>
      </c>
      <c r="F9" s="4" t="s">
        <v>1607</v>
      </c>
      <c r="G9" s="4" t="s">
        <v>131</v>
      </c>
      <c r="H9" s="64">
        <v>4069474</v>
      </c>
      <c r="I9" s="64"/>
      <c r="J9" s="64"/>
      <c r="K9" s="64"/>
    </row>
    <row r="10" spans="1:12">
      <c r="A10" s="62">
        <v>8</v>
      </c>
      <c r="B10" s="4" t="s">
        <v>1617</v>
      </c>
      <c r="C10" s="63" t="s">
        <v>1613</v>
      </c>
      <c r="D10" s="4"/>
      <c r="E10" s="63" t="s">
        <v>1606</v>
      </c>
      <c r="F10" s="4" t="s">
        <v>1607</v>
      </c>
      <c r="G10" s="4" t="s">
        <v>131</v>
      </c>
      <c r="H10" s="64">
        <v>3800000</v>
      </c>
      <c r="I10" s="64"/>
      <c r="J10" s="64"/>
      <c r="K10" s="64"/>
    </row>
    <row r="11" spans="1:12">
      <c r="A11" s="62">
        <v>9</v>
      </c>
      <c r="B11" s="4" t="s">
        <v>1618</v>
      </c>
      <c r="C11" s="63" t="s">
        <v>1619</v>
      </c>
      <c r="D11" s="4"/>
      <c r="E11" s="63" t="s">
        <v>1606</v>
      </c>
      <c r="F11" s="4" t="s">
        <v>1607</v>
      </c>
      <c r="G11" s="4" t="s">
        <v>131</v>
      </c>
      <c r="H11" s="64">
        <v>467712</v>
      </c>
      <c r="I11" s="64"/>
      <c r="J11" s="64"/>
      <c r="K11" s="64"/>
    </row>
    <row r="12" spans="1:12">
      <c r="A12" s="62">
        <v>10</v>
      </c>
      <c r="B12" s="4" t="s">
        <v>1620</v>
      </c>
      <c r="C12" s="63" t="s">
        <v>1621</v>
      </c>
      <c r="D12" s="4"/>
      <c r="E12" s="63" t="s">
        <v>1606</v>
      </c>
      <c r="F12" s="4" t="s">
        <v>1607</v>
      </c>
      <c r="G12" s="4" t="s">
        <v>131</v>
      </c>
      <c r="H12" s="64">
        <v>639160.01</v>
      </c>
      <c r="I12" s="64"/>
      <c r="J12" s="64"/>
      <c r="K12" s="64"/>
    </row>
    <row r="13" spans="1:12">
      <c r="A13" s="62">
        <v>11</v>
      </c>
      <c r="B13" s="4" t="s">
        <v>1622</v>
      </c>
      <c r="C13" s="63" t="s">
        <v>1623</v>
      </c>
      <c r="D13" s="4"/>
      <c r="E13" s="63" t="s">
        <v>1606</v>
      </c>
      <c r="F13" s="4" t="s">
        <v>1607</v>
      </c>
      <c r="G13" s="4" t="s">
        <v>131</v>
      </c>
      <c r="H13" s="64">
        <v>336635.76</v>
      </c>
      <c r="I13" s="64"/>
      <c r="J13" s="64"/>
      <c r="K13" s="64"/>
    </row>
    <row r="14" spans="1:12" customFormat="1" ht="32.25" customHeight="1">
      <c r="A14" s="3"/>
      <c r="B14" s="65" t="s">
        <v>1278</v>
      </c>
      <c r="C14" s="4"/>
      <c r="D14" s="4"/>
      <c r="E14" s="4"/>
      <c r="F14" s="4"/>
      <c r="G14" s="4"/>
      <c r="H14" s="64">
        <f>SUM(H3:H13)</f>
        <v>28769454.890000004</v>
      </c>
      <c r="I14" s="4"/>
      <c r="J14" s="4"/>
      <c r="K14" s="4"/>
      <c r="L14" s="69"/>
    </row>
    <row r="16" spans="1:12" customFormat="1" ht="18" customHeight="1">
      <c r="A16" s="66" t="s">
        <v>1862</v>
      </c>
      <c r="B16" s="67"/>
      <c r="C16" s="67"/>
      <c r="D16" s="67"/>
      <c r="E16" s="66"/>
      <c r="F16" s="67"/>
      <c r="G16" s="67"/>
      <c r="H16" s="67"/>
      <c r="I16" s="67"/>
      <c r="J16" s="67"/>
      <c r="K16" s="36"/>
    </row>
    <row r="17" spans="1:11" customFormat="1" ht="24" customHeight="1">
      <c r="A17" s="66" t="s">
        <v>1863</v>
      </c>
      <c r="B17" s="67"/>
      <c r="C17" s="66"/>
      <c r="D17" s="67"/>
      <c r="E17" s="67"/>
      <c r="F17" s="67"/>
      <c r="G17" s="67"/>
      <c r="H17" s="67"/>
      <c r="I17" s="67"/>
      <c r="J17" s="67"/>
      <c r="K17" s="36"/>
    </row>
    <row r="18" spans="1:11" customFormat="1" ht="21.75" customHeight="1">
      <c r="A18" s="66" t="s">
        <v>1864</v>
      </c>
      <c r="B18" s="67"/>
      <c r="C18" s="66"/>
      <c r="D18" s="67"/>
      <c r="E18" s="67"/>
      <c r="F18" s="67"/>
      <c r="G18" s="67"/>
      <c r="H18" s="67"/>
      <c r="I18" s="67"/>
      <c r="J18" s="67"/>
      <c r="K18" s="36"/>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11"/>
  <sheetViews>
    <sheetView workbookViewId="0">
      <selection activeCell="A9" sqref="A9:XFD11"/>
    </sheetView>
  </sheetViews>
  <sheetFormatPr defaultColWidth="9" defaultRowHeight="14.4"/>
  <sheetData>
    <row r="1" spans="1:19" ht="17.399999999999999">
      <c r="A1" s="7" t="s">
        <v>1624</v>
      </c>
    </row>
    <row r="2" spans="1:19" ht="72">
      <c r="A2" s="35"/>
      <c r="B2" s="23" t="s">
        <v>1625</v>
      </c>
      <c r="C2" s="23" t="s">
        <v>1626</v>
      </c>
      <c r="D2" s="23" t="s">
        <v>1627</v>
      </c>
      <c r="E2" s="23" t="s">
        <v>1431</v>
      </c>
      <c r="F2" s="23" t="s">
        <v>1628</v>
      </c>
      <c r="G2" s="23" t="s">
        <v>1629</v>
      </c>
      <c r="H2" s="23" t="s">
        <v>1630</v>
      </c>
      <c r="I2" s="23" t="s">
        <v>1631</v>
      </c>
      <c r="J2" s="23" t="s">
        <v>1632</v>
      </c>
      <c r="K2" s="23" t="s">
        <v>1633</v>
      </c>
      <c r="L2" s="23" t="s">
        <v>1634</v>
      </c>
      <c r="M2" s="23" t="s">
        <v>1635</v>
      </c>
      <c r="N2" s="23" t="s">
        <v>1636</v>
      </c>
      <c r="O2" s="23" t="s">
        <v>1637</v>
      </c>
      <c r="P2" s="23" t="s">
        <v>1638</v>
      </c>
      <c r="Q2" s="23" t="s">
        <v>1639</v>
      </c>
      <c r="R2" s="23" t="s">
        <v>1640</v>
      </c>
      <c r="S2" s="23" t="s">
        <v>79</v>
      </c>
    </row>
    <row r="3" spans="1:19">
      <c r="A3" s="26">
        <v>1</v>
      </c>
      <c r="B3" s="27" t="s">
        <v>84</v>
      </c>
      <c r="C3" s="57" t="s">
        <v>84</v>
      </c>
      <c r="D3" s="57" t="s">
        <v>84</v>
      </c>
      <c r="E3" s="57" t="s">
        <v>84</v>
      </c>
      <c r="F3" s="57" t="s">
        <v>84</v>
      </c>
      <c r="G3" s="57" t="s">
        <v>84</v>
      </c>
      <c r="H3" s="57" t="s">
        <v>84</v>
      </c>
      <c r="I3" s="57" t="s">
        <v>84</v>
      </c>
      <c r="J3" s="57" t="s">
        <v>84</v>
      </c>
      <c r="K3" s="57" t="s">
        <v>84</v>
      </c>
      <c r="L3" s="57" t="s">
        <v>84</v>
      </c>
      <c r="M3" s="57" t="s">
        <v>84</v>
      </c>
      <c r="N3" s="57" t="s">
        <v>84</v>
      </c>
      <c r="O3" s="57" t="s">
        <v>84</v>
      </c>
      <c r="P3" s="57" t="s">
        <v>84</v>
      </c>
      <c r="Q3" s="57" t="s">
        <v>84</v>
      </c>
      <c r="R3" s="57" t="s">
        <v>84</v>
      </c>
      <c r="S3" s="57" t="s">
        <v>84</v>
      </c>
    </row>
    <row r="4" spans="1:19">
      <c r="A4" s="26">
        <v>2</v>
      </c>
      <c r="B4" s="28"/>
      <c r="C4" s="28"/>
      <c r="D4" s="28"/>
      <c r="E4" s="28"/>
      <c r="F4" s="28"/>
      <c r="G4" s="28"/>
      <c r="H4" s="28"/>
      <c r="I4" s="28"/>
      <c r="J4" s="28"/>
      <c r="K4" s="28"/>
      <c r="L4" s="28"/>
      <c r="M4" s="28"/>
      <c r="N4" s="28"/>
      <c r="O4" s="28"/>
      <c r="P4" s="28"/>
      <c r="Q4" s="28"/>
      <c r="R4" s="28"/>
      <c r="S4" s="28"/>
    </row>
    <row r="5" spans="1:19">
      <c r="A5" s="26">
        <v>3</v>
      </c>
      <c r="B5" s="28"/>
      <c r="C5" s="28"/>
      <c r="D5" s="28"/>
      <c r="E5" s="28"/>
      <c r="F5" s="28"/>
      <c r="G5" s="28"/>
      <c r="H5" s="28"/>
      <c r="I5" s="28"/>
      <c r="J5" s="28"/>
      <c r="K5" s="28"/>
      <c r="L5" s="28"/>
      <c r="M5" s="28"/>
      <c r="N5" s="28"/>
      <c r="O5" s="28"/>
      <c r="P5" s="28"/>
      <c r="Q5" s="28"/>
      <c r="R5" s="28"/>
      <c r="S5" s="28"/>
    </row>
    <row r="6" spans="1:19">
      <c r="A6" s="26">
        <v>4</v>
      </c>
      <c r="B6" s="28"/>
      <c r="C6" s="28"/>
      <c r="D6" s="28"/>
      <c r="E6" s="28"/>
      <c r="F6" s="28"/>
      <c r="G6" s="28"/>
      <c r="H6" s="28"/>
      <c r="I6" s="28"/>
      <c r="J6" s="28"/>
      <c r="K6" s="28"/>
      <c r="L6" s="28"/>
      <c r="M6" s="28"/>
      <c r="N6" s="28"/>
      <c r="O6" s="28"/>
      <c r="P6" s="28"/>
      <c r="Q6" s="28"/>
      <c r="R6" s="28"/>
      <c r="S6" s="28"/>
    </row>
    <row r="7" spans="1:19">
      <c r="A7" s="26">
        <v>5</v>
      </c>
      <c r="B7" s="28"/>
      <c r="C7" s="28"/>
      <c r="D7" s="28"/>
      <c r="E7" s="28"/>
      <c r="F7" s="28"/>
      <c r="G7" s="28"/>
      <c r="H7" s="28"/>
      <c r="I7" s="28"/>
      <c r="J7" s="28"/>
      <c r="K7" s="28"/>
      <c r="L7" s="28"/>
      <c r="M7" s="28"/>
      <c r="N7" s="28"/>
      <c r="O7" s="28"/>
      <c r="P7" s="28"/>
      <c r="Q7" s="28"/>
      <c r="R7" s="28"/>
      <c r="S7" s="28"/>
    </row>
    <row r="8" spans="1:19">
      <c r="A8" s="21"/>
    </row>
    <row r="9" spans="1:19" s="1" customFormat="1" ht="15.6">
      <c r="A9" s="5" t="s">
        <v>1837</v>
      </c>
      <c r="E9" s="5"/>
      <c r="L9" s="6"/>
    </row>
    <row r="10" spans="1:19" s="1" customFormat="1" ht="15.6">
      <c r="A10" s="5" t="s">
        <v>1838</v>
      </c>
      <c r="C10" s="5"/>
    </row>
    <row r="11" spans="1:19" s="1" customFormat="1" ht="15.6">
      <c r="A11" s="5" t="s">
        <v>1839</v>
      </c>
      <c r="C11" s="5"/>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3"/>
  <sheetViews>
    <sheetView workbookViewId="0">
      <selection activeCell="K18" sqref="K18"/>
    </sheetView>
  </sheetViews>
  <sheetFormatPr defaultColWidth="9" defaultRowHeight="14.4"/>
  <sheetData>
    <row r="1" spans="1:12" ht="17.399999999999999">
      <c r="A1" s="7" t="s">
        <v>1641</v>
      </c>
    </row>
    <row r="2" spans="1:12" ht="57.6">
      <c r="A2" s="35"/>
      <c r="B2" s="23" t="s">
        <v>1642</v>
      </c>
      <c r="C2" s="23" t="s">
        <v>1593</v>
      </c>
      <c r="D2" s="23" t="s">
        <v>1431</v>
      </c>
      <c r="E2" s="23" t="s">
        <v>126</v>
      </c>
      <c r="F2" s="23" t="s">
        <v>1375</v>
      </c>
      <c r="G2" s="23" t="s">
        <v>1602</v>
      </c>
      <c r="H2" s="23" t="s">
        <v>1603</v>
      </c>
      <c r="I2" s="23" t="s">
        <v>1599</v>
      </c>
      <c r="J2" s="23" t="s">
        <v>1427</v>
      </c>
      <c r="K2" s="23" t="s">
        <v>79</v>
      </c>
    </row>
    <row r="3" spans="1:12">
      <c r="A3" s="26">
        <v>1</v>
      </c>
      <c r="B3" s="57" t="s">
        <v>84</v>
      </c>
      <c r="C3" s="57" t="s">
        <v>84</v>
      </c>
      <c r="D3" s="57" t="s">
        <v>84</v>
      </c>
      <c r="E3" s="57" t="s">
        <v>84</v>
      </c>
      <c r="F3" s="57" t="s">
        <v>84</v>
      </c>
      <c r="G3" s="57" t="s">
        <v>84</v>
      </c>
      <c r="H3" s="57" t="s">
        <v>84</v>
      </c>
      <c r="I3" s="57" t="s">
        <v>84</v>
      </c>
      <c r="J3" s="57" t="s">
        <v>84</v>
      </c>
      <c r="K3" s="57" t="s">
        <v>84</v>
      </c>
    </row>
    <row r="4" spans="1:12">
      <c r="A4" s="26">
        <v>2</v>
      </c>
      <c r="B4" s="28"/>
      <c r="C4" s="28"/>
      <c r="D4" s="28"/>
      <c r="E4" s="28"/>
      <c r="F4" s="28"/>
      <c r="G4" s="28"/>
      <c r="H4" s="28"/>
      <c r="I4" s="28"/>
      <c r="J4" s="28"/>
      <c r="K4" s="28"/>
    </row>
    <row r="5" spans="1:12">
      <c r="A5" s="26">
        <v>3</v>
      </c>
      <c r="B5" s="28"/>
      <c r="C5" s="28"/>
      <c r="D5" s="28"/>
      <c r="E5" s="28"/>
      <c r="F5" s="28"/>
      <c r="G5" s="28"/>
      <c r="H5" s="28"/>
      <c r="I5" s="28"/>
      <c r="J5" s="28"/>
      <c r="K5" s="28"/>
    </row>
    <row r="6" spans="1:12">
      <c r="A6" s="26">
        <v>4</v>
      </c>
      <c r="B6" s="28"/>
      <c r="C6" s="28"/>
      <c r="D6" s="28"/>
      <c r="E6" s="28"/>
      <c r="F6" s="28"/>
      <c r="G6" s="28"/>
      <c r="H6" s="28"/>
      <c r="I6" s="28"/>
      <c r="J6" s="28"/>
      <c r="K6" s="28"/>
    </row>
    <row r="7" spans="1:12">
      <c r="A7" s="26">
        <v>5</v>
      </c>
      <c r="B7" s="28"/>
      <c r="C7" s="28"/>
      <c r="D7" s="28"/>
      <c r="E7" s="28"/>
      <c r="F7" s="28"/>
      <c r="G7" s="28"/>
      <c r="H7" s="28"/>
      <c r="I7" s="28"/>
      <c r="J7" s="28"/>
      <c r="K7" s="28"/>
    </row>
    <row r="8" spans="1:12">
      <c r="A8" s="26">
        <v>6</v>
      </c>
      <c r="B8" s="28"/>
      <c r="C8" s="28"/>
      <c r="D8" s="28"/>
      <c r="E8" s="28"/>
      <c r="F8" s="28"/>
      <c r="G8" s="28"/>
      <c r="H8" s="28"/>
      <c r="I8" s="28"/>
      <c r="J8" s="28"/>
      <c r="K8" s="28"/>
    </row>
    <row r="9" spans="1:12">
      <c r="A9" s="26">
        <v>7</v>
      </c>
      <c r="B9" s="28"/>
      <c r="C9" s="28"/>
      <c r="D9" s="28"/>
      <c r="E9" s="28"/>
      <c r="F9" s="28"/>
      <c r="G9" s="28"/>
      <c r="H9" s="28"/>
      <c r="I9" s="28"/>
      <c r="J9" s="28"/>
      <c r="K9" s="28"/>
    </row>
    <row r="10" spans="1:12">
      <c r="A10" s="21"/>
    </row>
    <row r="11" spans="1:12" s="1" customFormat="1" ht="15.6">
      <c r="A11" s="5" t="s">
        <v>1837</v>
      </c>
      <c r="E11" s="5"/>
      <c r="L11" s="6"/>
    </row>
    <row r="12" spans="1:12" s="1" customFormat="1" ht="15.6">
      <c r="A12" s="5" t="s">
        <v>1838</v>
      </c>
      <c r="C12" s="5"/>
    </row>
    <row r="13" spans="1:12" s="1" customFormat="1" ht="15.6">
      <c r="A13" s="5" t="s">
        <v>1839</v>
      </c>
      <c r="C13" s="5"/>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16"/>
  <sheetViews>
    <sheetView workbookViewId="0">
      <selection activeCell="A13" sqref="A13:XFD15"/>
    </sheetView>
  </sheetViews>
  <sheetFormatPr defaultColWidth="9" defaultRowHeight="14.4"/>
  <sheetData>
    <row r="1" spans="1:12" ht="17.399999999999999">
      <c r="A1" s="7" t="s">
        <v>1643</v>
      </c>
    </row>
    <row r="2" spans="1:12" ht="57.6">
      <c r="A2" s="35"/>
      <c r="B2" s="23" t="s">
        <v>1644</v>
      </c>
      <c r="C2" s="23" t="s">
        <v>1328</v>
      </c>
      <c r="D2" s="23" t="s">
        <v>1645</v>
      </c>
      <c r="E2" s="23" t="s">
        <v>1646</v>
      </c>
      <c r="F2" s="23" t="s">
        <v>1647</v>
      </c>
      <c r="G2" s="23" t="s">
        <v>1648</v>
      </c>
      <c r="H2" s="23" t="s">
        <v>1649</v>
      </c>
      <c r="I2" s="23" t="s">
        <v>1650</v>
      </c>
      <c r="J2" s="23" t="s">
        <v>1651</v>
      </c>
      <c r="K2" s="23" t="s">
        <v>79</v>
      </c>
    </row>
    <row r="3" spans="1:12">
      <c r="A3" s="26">
        <v>1</v>
      </c>
      <c r="B3" s="57" t="s">
        <v>84</v>
      </c>
      <c r="C3" s="57" t="s">
        <v>84</v>
      </c>
      <c r="D3" s="57" t="s">
        <v>84</v>
      </c>
      <c r="E3" s="57" t="s">
        <v>84</v>
      </c>
      <c r="F3" s="57" t="s">
        <v>84</v>
      </c>
      <c r="G3" s="57" t="s">
        <v>84</v>
      </c>
      <c r="H3" s="57" t="s">
        <v>84</v>
      </c>
      <c r="I3" s="57" t="s">
        <v>84</v>
      </c>
      <c r="J3" s="57" t="s">
        <v>84</v>
      </c>
      <c r="K3" s="57" t="s">
        <v>84</v>
      </c>
    </row>
    <row r="4" spans="1:12">
      <c r="A4" s="26">
        <v>2</v>
      </c>
      <c r="B4" s="34"/>
      <c r="C4" s="34"/>
      <c r="D4" s="34"/>
      <c r="E4" s="34"/>
      <c r="F4" s="34"/>
      <c r="G4" s="34"/>
      <c r="H4" s="34"/>
      <c r="I4" s="34"/>
      <c r="J4" s="34"/>
      <c r="K4" s="28"/>
    </row>
    <row r="5" spans="1:12">
      <c r="A5" s="26">
        <v>3</v>
      </c>
      <c r="B5" s="34"/>
      <c r="C5" s="34"/>
      <c r="D5" s="34"/>
      <c r="E5" s="34"/>
      <c r="F5" s="34"/>
      <c r="G5" s="34"/>
      <c r="H5" s="34"/>
      <c r="I5" s="34"/>
      <c r="J5" s="34"/>
      <c r="K5" s="28"/>
    </row>
    <row r="6" spans="1:12">
      <c r="A6" s="26">
        <v>4</v>
      </c>
      <c r="B6" s="28"/>
      <c r="C6" s="28"/>
      <c r="D6" s="28"/>
      <c r="E6" s="28"/>
      <c r="F6" s="28"/>
      <c r="G6" s="28"/>
      <c r="H6" s="28"/>
      <c r="I6" s="28"/>
      <c r="J6" s="28"/>
      <c r="K6" s="28"/>
    </row>
    <row r="7" spans="1:12">
      <c r="A7" s="26">
        <v>5</v>
      </c>
      <c r="B7" s="28"/>
      <c r="C7" s="28"/>
      <c r="D7" s="28"/>
      <c r="E7" s="28"/>
      <c r="F7" s="28"/>
      <c r="G7" s="28"/>
      <c r="H7" s="28"/>
      <c r="I7" s="28"/>
      <c r="J7" s="28"/>
      <c r="K7" s="28"/>
    </row>
    <row r="8" spans="1:12">
      <c r="A8" s="26">
        <v>6</v>
      </c>
      <c r="B8" s="28"/>
      <c r="C8" s="28"/>
      <c r="D8" s="28"/>
      <c r="E8" s="28"/>
      <c r="F8" s="28"/>
      <c r="G8" s="28"/>
      <c r="H8" s="28"/>
      <c r="I8" s="28"/>
      <c r="J8" s="28"/>
      <c r="K8" s="28"/>
    </row>
    <row r="9" spans="1:12">
      <c r="A9" s="26">
        <v>7</v>
      </c>
      <c r="B9" s="28"/>
      <c r="C9" s="28"/>
      <c r="D9" s="28"/>
      <c r="E9" s="28"/>
      <c r="F9" s="28"/>
      <c r="G9" s="28"/>
      <c r="H9" s="28"/>
      <c r="I9" s="28"/>
      <c r="J9" s="28"/>
      <c r="K9" s="28"/>
    </row>
    <row r="10" spans="1:12">
      <c r="A10" s="26">
        <v>8</v>
      </c>
      <c r="B10" s="28"/>
      <c r="C10" s="28"/>
      <c r="D10" s="28"/>
      <c r="E10" s="28"/>
      <c r="F10" s="28"/>
      <c r="G10" s="28"/>
      <c r="H10" s="28"/>
      <c r="I10" s="28"/>
      <c r="J10" s="28"/>
      <c r="K10" s="28"/>
    </row>
    <row r="11" spans="1:12">
      <c r="A11" s="26">
        <v>9</v>
      </c>
      <c r="B11" s="28"/>
      <c r="C11" s="28"/>
      <c r="D11" s="28"/>
      <c r="E11" s="28"/>
      <c r="F11" s="28"/>
      <c r="G11" s="28"/>
      <c r="H11" s="28"/>
      <c r="I11" s="28"/>
      <c r="J11" s="28"/>
      <c r="K11" s="28"/>
    </row>
    <row r="12" spans="1:12">
      <c r="A12" s="21"/>
    </row>
    <row r="13" spans="1:12" s="1" customFormat="1" ht="15.6">
      <c r="A13" s="5" t="s">
        <v>1837</v>
      </c>
      <c r="E13" s="5"/>
      <c r="L13" s="6"/>
    </row>
    <row r="14" spans="1:12" s="1" customFormat="1" ht="15.6">
      <c r="A14" s="5" t="s">
        <v>1838</v>
      </c>
      <c r="C14" s="5"/>
    </row>
    <row r="15" spans="1:12" s="1" customFormat="1" ht="15.6">
      <c r="A15" s="5" t="s">
        <v>1839</v>
      </c>
      <c r="C15" s="5"/>
    </row>
    <row r="16" spans="1:12" ht="15.6">
      <c r="A16" s="60"/>
      <c r="B16" s="39"/>
      <c r="C16" s="39"/>
      <c r="D16" s="39"/>
      <c r="E16" s="39"/>
      <c r="F16" s="39"/>
      <c r="G16" s="39"/>
      <c r="H16" s="39"/>
      <c r="I16" s="39"/>
      <c r="J16" s="39"/>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4"/>
  <sheetViews>
    <sheetView workbookViewId="0">
      <selection activeCell="A12" sqref="A12:XFD14"/>
    </sheetView>
  </sheetViews>
  <sheetFormatPr defaultColWidth="9" defaultRowHeight="14.4"/>
  <cols>
    <col min="2" max="2" width="27.33203125" customWidth="1"/>
    <col min="3" max="3" width="17.33203125" customWidth="1"/>
    <col min="4" max="4" width="23" customWidth="1"/>
  </cols>
  <sheetData>
    <row r="1" spans="1:12" ht="17.399999999999999">
      <c r="A1" s="7" t="s">
        <v>1652</v>
      </c>
    </row>
    <row r="2" spans="1:12">
      <c r="A2" s="58"/>
      <c r="B2" s="23" t="s">
        <v>1653</v>
      </c>
      <c r="C2" s="23" t="s">
        <v>1654</v>
      </c>
      <c r="D2" s="23" t="s">
        <v>1655</v>
      </c>
      <c r="E2" s="59" t="s">
        <v>79</v>
      </c>
    </row>
    <row r="3" spans="1:12">
      <c r="A3" s="26">
        <v>1</v>
      </c>
      <c r="B3" s="34" t="s">
        <v>1656</v>
      </c>
      <c r="C3" s="57" t="s">
        <v>181</v>
      </c>
      <c r="D3" s="57" t="s">
        <v>181</v>
      </c>
      <c r="E3" s="57" t="s">
        <v>181</v>
      </c>
    </row>
    <row r="4" spans="1:12">
      <c r="A4" s="26">
        <v>2</v>
      </c>
      <c r="B4" s="28" t="s">
        <v>1657</v>
      </c>
      <c r="C4" s="57" t="s">
        <v>181</v>
      </c>
      <c r="D4" s="57" t="s">
        <v>181</v>
      </c>
      <c r="E4" s="57" t="s">
        <v>181</v>
      </c>
    </row>
    <row r="5" spans="1:12">
      <c r="A5" s="26">
        <v>3</v>
      </c>
      <c r="B5" s="34" t="s">
        <v>1658</v>
      </c>
      <c r="C5" s="57" t="s">
        <v>181</v>
      </c>
      <c r="D5" s="57" t="s">
        <v>181</v>
      </c>
      <c r="E5" s="57" t="s">
        <v>181</v>
      </c>
    </row>
    <row r="6" spans="1:12">
      <c r="A6" s="26">
        <v>4</v>
      </c>
      <c r="B6" s="34" t="s">
        <v>1659</v>
      </c>
      <c r="C6" s="57" t="s">
        <v>181</v>
      </c>
      <c r="D6" s="57" t="s">
        <v>181</v>
      </c>
      <c r="E6" s="57" t="s">
        <v>181</v>
      </c>
    </row>
    <row r="7" spans="1:12">
      <c r="A7" s="26">
        <v>5</v>
      </c>
      <c r="B7" s="34"/>
      <c r="C7" s="34"/>
      <c r="D7" s="34"/>
      <c r="E7" s="28"/>
    </row>
    <row r="8" spans="1:12">
      <c r="A8" s="26">
        <v>6</v>
      </c>
      <c r="B8" s="34"/>
      <c r="C8" s="34"/>
      <c r="D8" s="34"/>
      <c r="E8" s="28"/>
    </row>
    <row r="9" spans="1:12">
      <c r="A9" s="26">
        <v>7</v>
      </c>
      <c r="B9" s="34"/>
      <c r="C9" s="34"/>
      <c r="D9" s="34"/>
      <c r="E9" s="28"/>
    </row>
    <row r="10" spans="1:12">
      <c r="A10" s="21"/>
    </row>
    <row r="11" spans="1:12">
      <c r="A11" s="21"/>
    </row>
    <row r="12" spans="1:12" s="1" customFormat="1" ht="15.6">
      <c r="A12" s="5" t="s">
        <v>1837</v>
      </c>
      <c r="E12" s="5"/>
      <c r="L12" s="6"/>
    </row>
    <row r="13" spans="1:12" s="1" customFormat="1" ht="15.6">
      <c r="A13" s="5" t="s">
        <v>1838</v>
      </c>
      <c r="C13" s="5"/>
    </row>
    <row r="14" spans="1:12" s="1" customFormat="1" ht="15.6">
      <c r="A14" s="5" t="s">
        <v>1839</v>
      </c>
      <c r="C14" s="5"/>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12"/>
  <sheetViews>
    <sheetView topLeftCell="A8" workbookViewId="0">
      <selection activeCell="A10" sqref="A10:XFD12"/>
    </sheetView>
  </sheetViews>
  <sheetFormatPr defaultColWidth="9" defaultRowHeight="14.4"/>
  <cols>
    <col min="7" max="7" width="13.33203125" customWidth="1"/>
    <col min="8" max="8" width="14.6640625" customWidth="1"/>
  </cols>
  <sheetData>
    <row r="1" spans="1:12" ht="17.399999999999999">
      <c r="A1" s="7" t="s">
        <v>1660</v>
      </c>
    </row>
    <row r="2" spans="1:12" ht="216">
      <c r="A2" s="35"/>
      <c r="B2" s="23" t="s">
        <v>1661</v>
      </c>
      <c r="C2" s="23" t="s">
        <v>1662</v>
      </c>
      <c r="D2" s="23" t="s">
        <v>1663</v>
      </c>
      <c r="E2" s="23" t="s">
        <v>1664</v>
      </c>
      <c r="F2" s="23" t="s">
        <v>1665</v>
      </c>
      <c r="G2" s="23" t="s">
        <v>1666</v>
      </c>
      <c r="H2" s="23" t="s">
        <v>1667</v>
      </c>
    </row>
    <row r="3" spans="1:12">
      <c r="A3" s="26">
        <v>1</v>
      </c>
      <c r="B3" s="27" t="s">
        <v>1668</v>
      </c>
      <c r="C3" s="27" t="s">
        <v>1668</v>
      </c>
      <c r="D3" s="27" t="s">
        <v>1668</v>
      </c>
      <c r="E3" s="27" t="s">
        <v>1668</v>
      </c>
      <c r="F3" s="27" t="s">
        <v>1668</v>
      </c>
      <c r="G3" s="27" t="s">
        <v>1668</v>
      </c>
      <c r="H3" s="27" t="s">
        <v>1668</v>
      </c>
    </row>
    <row r="4" spans="1:12">
      <c r="A4" s="26">
        <v>2</v>
      </c>
      <c r="B4" s="28"/>
      <c r="C4" s="28"/>
      <c r="D4" s="28"/>
      <c r="E4" s="28"/>
      <c r="F4" s="28"/>
      <c r="G4" s="28"/>
      <c r="H4" s="28"/>
    </row>
    <row r="5" spans="1:12">
      <c r="A5" s="26">
        <v>3</v>
      </c>
      <c r="B5" s="28"/>
      <c r="C5" s="28"/>
      <c r="D5" s="28"/>
      <c r="E5" s="28"/>
      <c r="F5" s="28"/>
      <c r="G5" s="28"/>
      <c r="H5" s="28"/>
    </row>
    <row r="6" spans="1:12">
      <c r="A6" s="26">
        <v>4</v>
      </c>
      <c r="B6" s="28"/>
      <c r="C6" s="28"/>
      <c r="D6" s="28"/>
      <c r="E6" s="28"/>
      <c r="F6" s="28"/>
      <c r="G6" s="28"/>
      <c r="H6" s="28"/>
    </row>
    <row r="7" spans="1:12">
      <c r="A7" s="26">
        <v>5</v>
      </c>
      <c r="B7" s="28"/>
      <c r="C7" s="28"/>
      <c r="D7" s="28"/>
      <c r="E7" s="28"/>
      <c r="F7" s="28"/>
      <c r="G7" s="28"/>
      <c r="H7" s="28"/>
    </row>
    <row r="8" spans="1:12">
      <c r="A8" s="26">
        <v>6</v>
      </c>
      <c r="B8" s="28"/>
      <c r="C8" s="28"/>
      <c r="D8" s="28"/>
      <c r="E8" s="28"/>
      <c r="F8" s="28"/>
      <c r="G8" s="28"/>
      <c r="H8" s="28"/>
    </row>
    <row r="9" spans="1:12">
      <c r="A9" s="37"/>
      <c r="B9" s="37"/>
    </row>
    <row r="10" spans="1:12" s="1" customFormat="1" ht="15.6">
      <c r="A10" s="5" t="s">
        <v>1837</v>
      </c>
      <c r="E10" s="5"/>
      <c r="L10" s="6"/>
    </row>
    <row r="11" spans="1:12" s="1" customFormat="1" ht="15.6">
      <c r="A11" s="5" t="s">
        <v>1838</v>
      </c>
      <c r="C11" s="5"/>
    </row>
    <row r="12" spans="1:12" s="1" customFormat="1" ht="15.6">
      <c r="A12" s="5" t="s">
        <v>1839</v>
      </c>
      <c r="C12" s="5"/>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14"/>
  <sheetViews>
    <sheetView workbookViewId="0">
      <selection activeCell="A12" sqref="A12:XFD14"/>
    </sheetView>
  </sheetViews>
  <sheetFormatPr defaultColWidth="9" defaultRowHeight="14.4"/>
  <cols>
    <col min="2" max="2" width="16.109375" customWidth="1"/>
    <col min="3" max="3" width="11.88671875" customWidth="1"/>
    <col min="4" max="4" width="13" customWidth="1"/>
    <col min="5" max="5" width="12" customWidth="1"/>
    <col min="6" max="6" width="14.44140625" customWidth="1"/>
    <col min="7" max="7" width="24.44140625" customWidth="1"/>
  </cols>
  <sheetData>
    <row r="1" spans="1:12" ht="17.399999999999999">
      <c r="A1" s="7" t="s">
        <v>1669</v>
      </c>
    </row>
    <row r="2" spans="1:12" ht="72">
      <c r="A2" s="22"/>
      <c r="B2" s="23" t="s">
        <v>1670</v>
      </c>
      <c r="C2" s="23" t="s">
        <v>1671</v>
      </c>
      <c r="D2" s="23" t="s">
        <v>1672</v>
      </c>
      <c r="E2" s="23" t="s">
        <v>1673</v>
      </c>
      <c r="F2" s="23" t="s">
        <v>1674</v>
      </c>
      <c r="G2" s="23" t="s">
        <v>1675</v>
      </c>
    </row>
    <row r="3" spans="1:12">
      <c r="A3" s="24">
        <v>1</v>
      </c>
      <c r="B3" s="57" t="s">
        <v>84</v>
      </c>
      <c r="C3" s="57" t="s">
        <v>84</v>
      </c>
      <c r="D3" s="57" t="s">
        <v>84</v>
      </c>
      <c r="E3" s="57" t="s">
        <v>84</v>
      </c>
      <c r="F3" s="57" t="s">
        <v>84</v>
      </c>
      <c r="G3" s="57" t="s">
        <v>84</v>
      </c>
    </row>
    <row r="4" spans="1:12">
      <c r="A4" s="24">
        <v>2</v>
      </c>
      <c r="B4" s="34"/>
      <c r="C4" s="34"/>
      <c r="D4" s="34"/>
      <c r="E4" s="34"/>
      <c r="F4" s="34"/>
      <c r="G4" s="34"/>
    </row>
    <row r="5" spans="1:12">
      <c r="A5" s="24">
        <v>3</v>
      </c>
      <c r="B5" s="34"/>
      <c r="C5" s="34"/>
      <c r="D5" s="34"/>
      <c r="E5" s="34"/>
      <c r="F5" s="34"/>
      <c r="G5" s="34"/>
    </row>
    <row r="6" spans="1:12">
      <c r="A6" s="24">
        <v>4</v>
      </c>
      <c r="B6" s="34"/>
      <c r="C6" s="34"/>
      <c r="D6" s="34"/>
      <c r="E6" s="34"/>
      <c r="F6" s="34"/>
      <c r="G6" s="34"/>
    </row>
    <row r="7" spans="1:12">
      <c r="A7" s="24">
        <v>5</v>
      </c>
      <c r="B7" s="34"/>
      <c r="C7" s="34"/>
      <c r="D7" s="34"/>
      <c r="E7" s="34"/>
      <c r="F7" s="34"/>
      <c r="G7" s="34"/>
    </row>
    <row r="8" spans="1:12">
      <c r="A8" s="24">
        <v>6</v>
      </c>
      <c r="B8" s="34"/>
      <c r="C8" s="34"/>
      <c r="D8" s="34"/>
      <c r="E8" s="34"/>
      <c r="F8" s="34"/>
      <c r="G8" s="34"/>
    </row>
    <row r="9" spans="1:12">
      <c r="A9" s="21"/>
    </row>
    <row r="12" spans="1:12" s="1" customFormat="1" ht="15.6">
      <c r="A12" s="5" t="s">
        <v>1837</v>
      </c>
      <c r="E12" s="5"/>
      <c r="L12" s="6"/>
    </row>
    <row r="13" spans="1:12" s="1" customFormat="1" ht="15.6">
      <c r="A13" s="5" t="s">
        <v>1838</v>
      </c>
      <c r="C13" s="5"/>
    </row>
    <row r="14" spans="1:12" s="1" customFormat="1" ht="15.6">
      <c r="A14" s="5" t="s">
        <v>1839</v>
      </c>
      <c r="C14" s="5"/>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14"/>
  <sheetViews>
    <sheetView topLeftCell="A3" workbookViewId="0">
      <selection activeCell="A12" sqref="A12:XFD14"/>
    </sheetView>
  </sheetViews>
  <sheetFormatPr defaultColWidth="9" defaultRowHeight="14.4"/>
  <cols>
    <col min="2" max="2" width="60.109375" customWidth="1"/>
    <col min="4" max="4" width="21" customWidth="1"/>
    <col min="5" max="5" width="12.44140625" customWidth="1"/>
    <col min="6" max="6" width="20.5546875" customWidth="1"/>
    <col min="7" max="7" width="59.88671875" customWidth="1"/>
    <col min="8" max="8" width="35.5546875" customWidth="1"/>
    <col min="9" max="9" width="24.44140625" customWidth="1"/>
    <col min="10" max="10" width="65.88671875" customWidth="1"/>
  </cols>
  <sheetData>
    <row r="1" spans="1:12" ht="17.399999999999999">
      <c r="A1" s="7" t="s">
        <v>1676</v>
      </c>
    </row>
    <row r="2" spans="1:12">
      <c r="A2" s="51"/>
      <c r="B2" s="36"/>
      <c r="C2" s="36"/>
      <c r="D2" s="36"/>
      <c r="E2" s="36"/>
      <c r="F2" s="36"/>
      <c r="G2" s="36"/>
      <c r="H2" s="36"/>
      <c r="I2" s="36"/>
      <c r="J2" s="36"/>
    </row>
    <row r="3" spans="1:12" ht="57.6">
      <c r="A3" s="52"/>
      <c r="B3" s="10" t="s">
        <v>1677</v>
      </c>
      <c r="C3" s="10" t="s">
        <v>1678</v>
      </c>
      <c r="D3" s="10" t="s">
        <v>1679</v>
      </c>
      <c r="E3" s="10" t="s">
        <v>1680</v>
      </c>
      <c r="F3" s="10" t="s">
        <v>1681</v>
      </c>
      <c r="G3" s="10" t="s">
        <v>1682</v>
      </c>
      <c r="H3" s="10" t="s">
        <v>1683</v>
      </c>
      <c r="I3" s="10" t="s">
        <v>1684</v>
      </c>
      <c r="J3" s="10" t="s">
        <v>1685</v>
      </c>
      <c r="K3" s="10" t="s">
        <v>79</v>
      </c>
      <c r="L3" s="2"/>
    </row>
    <row r="4" spans="1:12">
      <c r="A4" s="3">
        <v>1</v>
      </c>
      <c r="B4" s="4" t="s">
        <v>1686</v>
      </c>
      <c r="C4" s="4" t="s">
        <v>1687</v>
      </c>
      <c r="D4" s="4" t="s">
        <v>1688</v>
      </c>
      <c r="E4" s="53">
        <v>4497712</v>
      </c>
      <c r="F4" s="4" t="s">
        <v>1689</v>
      </c>
      <c r="G4" s="4" t="s">
        <v>1690</v>
      </c>
      <c r="H4" s="4" t="s">
        <v>1691</v>
      </c>
      <c r="I4" s="4" t="s">
        <v>181</v>
      </c>
      <c r="J4" s="4" t="s">
        <v>1692</v>
      </c>
      <c r="K4" s="4"/>
      <c r="L4" s="2"/>
    </row>
    <row r="5" spans="1:12">
      <c r="A5" s="3">
        <v>2</v>
      </c>
      <c r="B5" s="4" t="s">
        <v>1693</v>
      </c>
      <c r="C5" s="4" t="s">
        <v>1687</v>
      </c>
      <c r="D5" s="4" t="s">
        <v>1688</v>
      </c>
      <c r="E5" s="54">
        <v>188083</v>
      </c>
      <c r="F5" s="4" t="s">
        <v>1689</v>
      </c>
      <c r="G5" s="4" t="s">
        <v>1694</v>
      </c>
      <c r="H5" s="4" t="s">
        <v>1691</v>
      </c>
      <c r="I5" s="56" t="s">
        <v>1695</v>
      </c>
      <c r="J5" s="4" t="s">
        <v>1692</v>
      </c>
      <c r="K5" s="4"/>
      <c r="L5" s="2"/>
    </row>
    <row r="6" spans="1:12">
      <c r="A6" s="3">
        <v>3</v>
      </c>
      <c r="B6" s="4"/>
      <c r="C6" s="4"/>
      <c r="D6" s="4"/>
      <c r="E6" s="4"/>
      <c r="F6" s="4"/>
      <c r="G6" s="4"/>
      <c r="H6" s="4"/>
      <c r="I6" s="4"/>
      <c r="J6" s="4"/>
      <c r="K6" s="4"/>
      <c r="L6" s="2"/>
    </row>
    <row r="7" spans="1:12">
      <c r="A7" s="3">
        <v>4</v>
      </c>
      <c r="B7" s="4"/>
      <c r="C7" s="4"/>
      <c r="D7" s="4"/>
      <c r="E7" s="4"/>
      <c r="F7" s="4"/>
      <c r="G7" s="4"/>
      <c r="H7" s="4"/>
      <c r="I7" s="4"/>
      <c r="J7" s="4"/>
      <c r="K7" s="4"/>
      <c r="L7" s="2"/>
    </row>
    <row r="8" spans="1:12">
      <c r="A8" s="3">
        <v>5</v>
      </c>
      <c r="B8" s="4"/>
      <c r="C8" s="4"/>
      <c r="D8" s="4"/>
      <c r="E8" s="4"/>
      <c r="F8" s="4"/>
      <c r="G8" s="4"/>
      <c r="H8" s="4"/>
      <c r="I8" s="4"/>
      <c r="J8" s="4"/>
      <c r="K8" s="4"/>
      <c r="L8" s="2"/>
    </row>
    <row r="9" spans="1:12">
      <c r="A9" s="3">
        <v>6</v>
      </c>
      <c r="B9" s="4"/>
      <c r="C9" s="4"/>
      <c r="D9" s="4"/>
      <c r="E9" s="4"/>
      <c r="F9" s="4"/>
      <c r="G9" s="4"/>
      <c r="H9" s="4"/>
      <c r="I9" s="4"/>
      <c r="J9" s="4"/>
      <c r="K9" s="4"/>
      <c r="L9" s="2"/>
    </row>
    <row r="10" spans="1:12">
      <c r="A10" s="12">
        <v>7</v>
      </c>
      <c r="B10" s="13"/>
      <c r="C10" s="13"/>
      <c r="D10" s="13"/>
      <c r="E10" s="13"/>
      <c r="F10" s="13"/>
      <c r="G10" s="13"/>
      <c r="H10" s="13"/>
      <c r="I10" s="13"/>
      <c r="J10" s="13"/>
      <c r="K10" s="13"/>
      <c r="L10" s="2"/>
    </row>
    <row r="11" spans="1:12">
      <c r="A11" s="55"/>
      <c r="B11" s="17"/>
      <c r="C11" s="17"/>
      <c r="D11" s="17"/>
      <c r="E11" s="17"/>
      <c r="F11" s="17"/>
      <c r="G11" s="17"/>
      <c r="H11" s="15"/>
      <c r="I11" s="15"/>
      <c r="J11" s="15"/>
      <c r="K11" s="20"/>
    </row>
    <row r="12" spans="1:12" ht="18" customHeight="1">
      <c r="A12" s="16" t="s">
        <v>1865</v>
      </c>
      <c r="B12" s="17"/>
      <c r="C12" s="17"/>
      <c r="D12" s="17"/>
      <c r="E12" s="18"/>
      <c r="F12" s="15"/>
      <c r="G12" s="15"/>
      <c r="H12" s="20"/>
      <c r="I12" s="20"/>
      <c r="J12" s="20"/>
      <c r="K12" s="20"/>
    </row>
    <row r="13" spans="1:12" ht="24" customHeight="1">
      <c r="A13" s="19" t="s">
        <v>1866</v>
      </c>
      <c r="B13" s="20"/>
      <c r="C13" s="19"/>
      <c r="D13" s="20"/>
      <c r="E13" s="15"/>
      <c r="F13" s="15"/>
      <c r="G13" s="20"/>
      <c r="H13" s="15"/>
      <c r="I13" s="15"/>
      <c r="J13" s="15"/>
      <c r="K13" s="20"/>
    </row>
    <row r="14" spans="1:12" ht="21.75" customHeight="1">
      <c r="A14" s="32" t="s">
        <v>1839</v>
      </c>
      <c r="B14" s="33"/>
      <c r="C14" s="32"/>
      <c r="D14" s="33"/>
      <c r="E14" s="33"/>
      <c r="F14" s="33"/>
      <c r="G14" s="33"/>
      <c r="H14" s="33"/>
      <c r="I14" s="33"/>
      <c r="J14" s="33"/>
      <c r="K14" s="20"/>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Q16"/>
  <sheetViews>
    <sheetView topLeftCell="A3" workbookViewId="0">
      <selection activeCell="D20" sqref="D20"/>
    </sheetView>
  </sheetViews>
  <sheetFormatPr defaultColWidth="9" defaultRowHeight="14.4"/>
  <cols>
    <col min="2" max="2" width="28" customWidth="1"/>
    <col min="3" max="3" width="45.88671875" customWidth="1"/>
    <col min="4" max="4" width="29.109375" customWidth="1"/>
    <col min="5" max="5" width="34.109375" customWidth="1"/>
    <col min="6" max="6" width="61.33203125" customWidth="1"/>
    <col min="7" max="7" width="49.88671875" customWidth="1"/>
    <col min="8" max="8" width="27.33203125" customWidth="1"/>
    <col min="9" max="9" width="29.6640625" customWidth="1"/>
    <col min="10" max="10" width="22.33203125" customWidth="1"/>
    <col min="11" max="11" width="48.5546875" customWidth="1"/>
    <col min="12" max="12" width="40.44140625" customWidth="1"/>
    <col min="13" max="13" width="20.44140625" customWidth="1"/>
    <col min="14" max="14" width="21.6640625" customWidth="1"/>
    <col min="16" max="16" width="44.5546875" customWidth="1"/>
    <col min="17" max="17" width="36.33203125" customWidth="1"/>
  </cols>
  <sheetData>
    <row r="1" spans="1:17" ht="18" thickBot="1">
      <c r="A1" s="289" t="s">
        <v>1867</v>
      </c>
      <c r="B1" s="20"/>
      <c r="C1" s="20"/>
      <c r="D1" s="20"/>
      <c r="E1" s="20"/>
      <c r="F1" s="20"/>
      <c r="G1" s="20"/>
      <c r="H1" s="20"/>
      <c r="I1" s="20"/>
      <c r="J1" s="20"/>
    </row>
    <row r="2" spans="1:17" ht="87" customHeight="1" thickBot="1">
      <c r="A2" s="290"/>
      <c r="B2" s="78" t="s">
        <v>1696</v>
      </c>
      <c r="C2" s="78" t="s">
        <v>1697</v>
      </c>
      <c r="D2" s="78" t="s">
        <v>1698</v>
      </c>
      <c r="E2" s="78" t="s">
        <v>1699</v>
      </c>
      <c r="F2" s="78" t="s">
        <v>1700</v>
      </c>
      <c r="G2" s="78" t="s">
        <v>1701</v>
      </c>
      <c r="H2" s="78" t="s">
        <v>1702</v>
      </c>
      <c r="I2" s="78" t="s">
        <v>1703</v>
      </c>
      <c r="J2" s="78" t="s">
        <v>1704</v>
      </c>
      <c r="K2" s="23" t="s">
        <v>1705</v>
      </c>
      <c r="L2" s="23" t="s">
        <v>1706</v>
      </c>
      <c r="M2" s="23" t="s">
        <v>1707</v>
      </c>
      <c r="N2" s="23" t="s">
        <v>1708</v>
      </c>
      <c r="O2" s="23" t="s">
        <v>1709</v>
      </c>
      <c r="P2" s="23" t="s">
        <v>1710</v>
      </c>
      <c r="Q2" s="23" t="s">
        <v>79</v>
      </c>
    </row>
    <row r="3" spans="1:17" ht="15" thickBot="1">
      <c r="A3" s="31">
        <v>1</v>
      </c>
      <c r="B3" s="31" t="s">
        <v>1711</v>
      </c>
      <c r="C3" s="31" t="s">
        <v>181</v>
      </c>
      <c r="D3" s="31" t="s">
        <v>1712</v>
      </c>
      <c r="E3" s="31" t="s">
        <v>1713</v>
      </c>
      <c r="F3" s="291" t="s">
        <v>1714</v>
      </c>
      <c r="G3" s="292" t="s">
        <v>1715</v>
      </c>
      <c r="H3" s="293">
        <v>44197</v>
      </c>
      <c r="I3" s="293">
        <v>44197</v>
      </c>
      <c r="J3" s="291" t="s">
        <v>1716</v>
      </c>
      <c r="K3" s="28" t="s">
        <v>1715</v>
      </c>
      <c r="L3" s="28" t="s">
        <v>1717</v>
      </c>
      <c r="M3" s="294" t="s">
        <v>1868</v>
      </c>
      <c r="N3" s="295">
        <v>800000</v>
      </c>
      <c r="O3" s="28" t="s">
        <v>181</v>
      </c>
      <c r="P3" s="28" t="s">
        <v>1718</v>
      </c>
      <c r="Q3" s="28"/>
    </row>
    <row r="4" spans="1:17" ht="15" thickBot="1">
      <c r="A4" s="31">
        <v>2</v>
      </c>
      <c r="B4" s="292" t="s">
        <v>1719</v>
      </c>
      <c r="C4" s="291" t="s">
        <v>181</v>
      </c>
      <c r="D4" s="291" t="s">
        <v>1720</v>
      </c>
      <c r="E4" s="291" t="s">
        <v>1721</v>
      </c>
      <c r="F4" s="291" t="s">
        <v>1722</v>
      </c>
      <c r="G4" s="291" t="s">
        <v>1723</v>
      </c>
      <c r="H4" s="296">
        <v>44713</v>
      </c>
      <c r="I4" s="293">
        <v>44713</v>
      </c>
      <c r="J4" s="291" t="s">
        <v>1716</v>
      </c>
      <c r="K4" s="294" t="s">
        <v>1723</v>
      </c>
      <c r="L4" s="294" t="s">
        <v>1724</v>
      </c>
      <c r="M4" s="295">
        <v>400000</v>
      </c>
      <c r="N4" s="294" t="s">
        <v>181</v>
      </c>
      <c r="O4" s="294" t="s">
        <v>181</v>
      </c>
      <c r="P4" s="294" t="s">
        <v>1725</v>
      </c>
      <c r="Q4" s="28"/>
    </row>
    <row r="5" spans="1:17" ht="15" thickBot="1">
      <c r="A5" s="31">
        <v>3</v>
      </c>
      <c r="B5" s="291" t="s">
        <v>1726</v>
      </c>
      <c r="C5" s="291" t="s">
        <v>181</v>
      </c>
      <c r="D5" s="291" t="s">
        <v>1727</v>
      </c>
      <c r="E5" s="291" t="s">
        <v>1728</v>
      </c>
      <c r="F5" s="291" t="s">
        <v>1729</v>
      </c>
      <c r="G5" s="291" t="s">
        <v>1723</v>
      </c>
      <c r="H5" s="293">
        <v>44197</v>
      </c>
      <c r="I5" s="293">
        <v>44197</v>
      </c>
      <c r="J5" s="291" t="s">
        <v>1716</v>
      </c>
      <c r="K5" s="294" t="s">
        <v>1730</v>
      </c>
      <c r="L5" s="294" t="s">
        <v>1717</v>
      </c>
      <c r="M5" s="294" t="s">
        <v>1869</v>
      </c>
      <c r="N5" s="294" t="s">
        <v>181</v>
      </c>
      <c r="O5" s="294" t="s">
        <v>181</v>
      </c>
      <c r="P5" s="294" t="s">
        <v>1731</v>
      </c>
      <c r="Q5" s="28"/>
    </row>
    <row r="6" spans="1:17" ht="15" thickBot="1">
      <c r="A6" s="31">
        <v>4</v>
      </c>
      <c r="B6" s="297" t="s">
        <v>1732</v>
      </c>
      <c r="C6" s="291" t="s">
        <v>181</v>
      </c>
      <c r="D6" s="291" t="s">
        <v>1733</v>
      </c>
      <c r="E6" s="291" t="s">
        <v>1734</v>
      </c>
      <c r="F6" s="291" t="s">
        <v>1735</v>
      </c>
      <c r="G6" s="291" t="s">
        <v>1715</v>
      </c>
      <c r="H6" s="293">
        <v>44682</v>
      </c>
      <c r="I6" s="293">
        <v>44682</v>
      </c>
      <c r="J6" s="291" t="s">
        <v>1716</v>
      </c>
      <c r="K6" s="294" t="s">
        <v>1715</v>
      </c>
      <c r="L6" s="294" t="s">
        <v>1724</v>
      </c>
      <c r="M6" s="295">
        <v>200000</v>
      </c>
      <c r="N6" s="294" t="s">
        <v>181</v>
      </c>
      <c r="O6" s="294" t="s">
        <v>181</v>
      </c>
      <c r="P6" s="294" t="s">
        <v>1736</v>
      </c>
      <c r="Q6" s="28"/>
    </row>
    <row r="7" spans="1:17" ht="16.2" thickBot="1">
      <c r="A7" s="31">
        <v>5</v>
      </c>
      <c r="B7" s="39" t="s">
        <v>1737</v>
      </c>
      <c r="C7" s="297" t="s">
        <v>181</v>
      </c>
      <c r="D7" s="291" t="s">
        <v>1738</v>
      </c>
      <c r="E7" s="291" t="s">
        <v>1739</v>
      </c>
      <c r="F7" s="291" t="s">
        <v>1740</v>
      </c>
      <c r="G7" s="291" t="s">
        <v>1715</v>
      </c>
      <c r="H7" s="298">
        <v>45403</v>
      </c>
      <c r="I7" s="298">
        <v>45403</v>
      </c>
      <c r="J7" s="291" t="s">
        <v>1716</v>
      </c>
      <c r="K7" s="294" t="s">
        <v>1715</v>
      </c>
      <c r="L7" s="294" t="s">
        <v>1717</v>
      </c>
      <c r="M7" s="294" t="s">
        <v>1870</v>
      </c>
      <c r="N7" s="294" t="s">
        <v>1871</v>
      </c>
      <c r="O7" s="294" t="s">
        <v>181</v>
      </c>
      <c r="P7" s="294" t="s">
        <v>1741</v>
      </c>
      <c r="Q7" s="28"/>
    </row>
    <row r="8" spans="1:17" ht="15" thickBot="1">
      <c r="A8" s="31">
        <v>6</v>
      </c>
      <c r="B8" s="297" t="s">
        <v>1742</v>
      </c>
      <c r="C8" s="291" t="s">
        <v>1743</v>
      </c>
      <c r="D8" s="291" t="s">
        <v>1744</v>
      </c>
      <c r="E8" s="31" t="s">
        <v>1745</v>
      </c>
      <c r="F8" s="291" t="s">
        <v>1746</v>
      </c>
      <c r="G8" s="291" t="s">
        <v>1715</v>
      </c>
      <c r="H8" s="298">
        <v>45600</v>
      </c>
      <c r="I8" s="298" t="s">
        <v>1745</v>
      </c>
      <c r="J8" s="291" t="s">
        <v>1747</v>
      </c>
      <c r="K8" s="294" t="s">
        <v>1715</v>
      </c>
      <c r="L8" s="294" t="s">
        <v>1748</v>
      </c>
      <c r="M8" s="299">
        <v>10000</v>
      </c>
      <c r="N8" s="294" t="s">
        <v>181</v>
      </c>
      <c r="O8" s="294" t="s">
        <v>181</v>
      </c>
      <c r="P8" s="294" t="s">
        <v>1749</v>
      </c>
      <c r="Q8" s="28"/>
    </row>
    <row r="9" spans="1:17" ht="15" thickBot="1">
      <c r="A9" s="31">
        <v>7</v>
      </c>
      <c r="B9" s="297" t="s">
        <v>1750</v>
      </c>
      <c r="C9" s="291" t="s">
        <v>181</v>
      </c>
      <c r="D9" s="291" t="s">
        <v>1751</v>
      </c>
      <c r="E9" s="291" t="s">
        <v>1752</v>
      </c>
      <c r="F9" s="291" t="s">
        <v>1753</v>
      </c>
      <c r="G9" s="297" t="s">
        <v>1715</v>
      </c>
      <c r="H9" s="298">
        <v>45466</v>
      </c>
      <c r="I9" s="298">
        <v>45466</v>
      </c>
      <c r="J9" s="291" t="s">
        <v>1716</v>
      </c>
      <c r="K9" s="294" t="s">
        <v>1730</v>
      </c>
      <c r="L9" s="294" t="s">
        <v>1724</v>
      </c>
      <c r="M9" s="294" t="s">
        <v>1869</v>
      </c>
      <c r="N9" s="294" t="s">
        <v>181</v>
      </c>
      <c r="O9" s="294" t="s">
        <v>181</v>
      </c>
      <c r="P9" s="28" t="s">
        <v>1754</v>
      </c>
      <c r="Q9" s="28"/>
    </row>
    <row r="10" spans="1:17">
      <c r="A10" s="300">
        <v>8</v>
      </c>
      <c r="B10" t="s">
        <v>1755</v>
      </c>
      <c r="C10" s="301" t="s">
        <v>181</v>
      </c>
      <c r="D10" s="300" t="s">
        <v>1756</v>
      </c>
      <c r="E10" s="300" t="s">
        <v>1757</v>
      </c>
      <c r="F10" s="300" t="s">
        <v>1758</v>
      </c>
      <c r="G10" s="300" t="s">
        <v>1759</v>
      </c>
      <c r="H10" s="302">
        <v>45459</v>
      </c>
      <c r="I10" s="302">
        <v>45551</v>
      </c>
      <c r="J10" s="300" t="s">
        <v>1747</v>
      </c>
      <c r="K10" s="30" t="s">
        <v>1872</v>
      </c>
      <c r="L10" s="30" t="s">
        <v>1873</v>
      </c>
      <c r="M10" s="303">
        <v>15000000</v>
      </c>
      <c r="N10" s="304">
        <v>7000000</v>
      </c>
      <c r="O10" s="30" t="s">
        <v>181</v>
      </c>
      <c r="P10" s="30" t="s">
        <v>1760</v>
      </c>
    </row>
    <row r="11" spans="1:17">
      <c r="A11" s="300">
        <v>9</v>
      </c>
      <c r="B11" t="s">
        <v>1761</v>
      </c>
      <c r="C11" s="301" t="s">
        <v>181</v>
      </c>
      <c r="D11" s="300" t="s">
        <v>1762</v>
      </c>
      <c r="E11" s="300" t="s">
        <v>1763</v>
      </c>
      <c r="F11" s="300" t="s">
        <v>1758</v>
      </c>
      <c r="G11" s="300" t="s">
        <v>1764</v>
      </c>
      <c r="H11" s="302">
        <v>45723</v>
      </c>
      <c r="I11" s="302">
        <v>45723</v>
      </c>
      <c r="J11" s="300" t="s">
        <v>1765</v>
      </c>
      <c r="K11" s="300" t="s">
        <v>1872</v>
      </c>
      <c r="L11" s="30" t="s">
        <v>1874</v>
      </c>
      <c r="M11" s="303">
        <v>20000000</v>
      </c>
      <c r="N11" s="304">
        <v>10000000</v>
      </c>
      <c r="O11" s="30" t="s">
        <v>181</v>
      </c>
      <c r="P11" s="30" t="s">
        <v>1875</v>
      </c>
      <c r="Q11" s="21" t="s">
        <v>1876</v>
      </c>
    </row>
    <row r="12" spans="1:17" s="40" customFormat="1" ht="15.6">
      <c r="B12" s="44"/>
      <c r="F12" s="45"/>
      <c r="G12" s="45"/>
      <c r="H12" s="45"/>
      <c r="I12" s="45"/>
      <c r="J12" s="45"/>
      <c r="K12" s="45"/>
      <c r="L12" s="45"/>
      <c r="M12" s="50">
        <f>SUM(M3:M11)</f>
        <v>35610000</v>
      </c>
      <c r="N12" s="50">
        <f>SUM(N3:N11)</f>
        <v>17800000</v>
      </c>
      <c r="O12" s="45"/>
      <c r="P12" s="45"/>
      <c r="Q12" s="45"/>
    </row>
    <row r="13" spans="1:17" s="1" customFormat="1" ht="15.6"/>
    <row r="14" spans="1:17" s="1" customFormat="1" ht="18" customHeight="1">
      <c r="A14" s="46" t="s">
        <v>1877</v>
      </c>
      <c r="B14" s="47"/>
      <c r="C14" s="47"/>
      <c r="D14" s="47"/>
      <c r="E14" s="48"/>
      <c r="F14" s="49"/>
      <c r="G14" s="47"/>
      <c r="H14" s="49"/>
      <c r="I14" s="49"/>
      <c r="J14" s="49"/>
    </row>
    <row r="15" spans="1:17" s="1" customFormat="1" ht="24" customHeight="1">
      <c r="A15" s="5" t="s">
        <v>1878</v>
      </c>
      <c r="C15" s="5"/>
      <c r="E15" s="49"/>
      <c r="F15" s="49"/>
      <c r="H15" s="49"/>
      <c r="I15" s="49"/>
      <c r="J15" s="49"/>
    </row>
    <row r="16" spans="1:17" s="1" customFormat="1" ht="21.75" customHeight="1">
      <c r="A16" s="5" t="s">
        <v>1861</v>
      </c>
      <c r="C16" s="5"/>
    </row>
  </sheetData>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14"/>
  <sheetViews>
    <sheetView workbookViewId="0">
      <selection activeCell="H18" sqref="H18"/>
    </sheetView>
  </sheetViews>
  <sheetFormatPr defaultColWidth="9" defaultRowHeight="14.4"/>
  <cols>
    <col min="5" max="5" width="21.109375" customWidth="1"/>
    <col min="6" max="6" width="14.33203125" customWidth="1"/>
    <col min="7" max="7" width="13.33203125" customWidth="1"/>
    <col min="8" max="8" width="17" customWidth="1"/>
    <col min="9" max="9" width="12.33203125" customWidth="1"/>
  </cols>
  <sheetData>
    <row r="1" spans="1:11" ht="17.399999999999999">
      <c r="A1" s="7" t="s">
        <v>1766</v>
      </c>
    </row>
    <row r="2" spans="1:11" ht="57.6">
      <c r="A2" s="35"/>
      <c r="B2" s="23" t="s">
        <v>1767</v>
      </c>
      <c r="C2" s="23" t="s">
        <v>1768</v>
      </c>
      <c r="D2" s="23" t="s">
        <v>1769</v>
      </c>
      <c r="E2" s="23" t="s">
        <v>1770</v>
      </c>
      <c r="F2" s="23" t="s">
        <v>1771</v>
      </c>
      <c r="G2" s="23" t="s">
        <v>1772</v>
      </c>
      <c r="H2" s="23" t="s">
        <v>1773</v>
      </c>
      <c r="I2" s="23" t="s">
        <v>79</v>
      </c>
    </row>
    <row r="3" spans="1:11">
      <c r="A3" s="26">
        <v>1</v>
      </c>
      <c r="B3" s="27" t="s">
        <v>1668</v>
      </c>
      <c r="C3" s="27" t="s">
        <v>1668</v>
      </c>
      <c r="D3" s="27" t="s">
        <v>1668</v>
      </c>
      <c r="E3" s="27" t="s">
        <v>1668</v>
      </c>
      <c r="F3" s="27" t="s">
        <v>1668</v>
      </c>
      <c r="G3" s="27" t="s">
        <v>1668</v>
      </c>
      <c r="H3" s="27" t="s">
        <v>1668</v>
      </c>
      <c r="I3" s="27" t="s">
        <v>1668</v>
      </c>
    </row>
    <row r="4" spans="1:11">
      <c r="A4" s="26">
        <v>2</v>
      </c>
      <c r="B4" s="28"/>
      <c r="C4" s="28"/>
      <c r="D4" s="28"/>
      <c r="E4" s="28"/>
      <c r="F4" s="28"/>
      <c r="G4" s="28"/>
      <c r="H4" s="28"/>
      <c r="I4" s="28"/>
    </row>
    <row r="5" spans="1:11">
      <c r="A5" s="26">
        <v>3</v>
      </c>
      <c r="B5" s="28"/>
      <c r="C5" s="28"/>
      <c r="D5" s="28"/>
      <c r="E5" s="28"/>
      <c r="F5" s="28"/>
      <c r="G5" s="28"/>
      <c r="H5" s="28"/>
      <c r="I5" s="28"/>
    </row>
    <row r="6" spans="1:11">
      <c r="A6" s="26">
        <v>4</v>
      </c>
      <c r="B6" s="28"/>
      <c r="C6" s="28"/>
      <c r="D6" s="28"/>
      <c r="E6" s="28"/>
      <c r="F6" s="28"/>
      <c r="G6" s="28"/>
      <c r="H6" s="28"/>
      <c r="I6" s="28"/>
    </row>
    <row r="7" spans="1:11">
      <c r="A7" s="26">
        <v>5</v>
      </c>
      <c r="B7" s="28"/>
      <c r="C7" s="28"/>
      <c r="D7" s="28"/>
      <c r="E7" s="28"/>
      <c r="F7" s="28"/>
      <c r="G7" s="28"/>
      <c r="H7" s="28"/>
      <c r="I7" s="28"/>
    </row>
    <row r="8" spans="1:11">
      <c r="A8" s="26">
        <v>6</v>
      </c>
      <c r="B8" s="28"/>
      <c r="C8" s="28"/>
      <c r="D8" s="28"/>
      <c r="E8" s="28"/>
      <c r="F8" s="28"/>
      <c r="G8" s="28"/>
      <c r="H8" s="28"/>
      <c r="I8" s="28"/>
    </row>
    <row r="9" spans="1:11">
      <c r="A9" s="26">
        <v>7</v>
      </c>
      <c r="B9" s="28"/>
      <c r="C9" s="28"/>
      <c r="D9" s="28"/>
      <c r="E9" s="28"/>
      <c r="F9" s="28"/>
      <c r="G9" s="28"/>
      <c r="H9" s="28"/>
      <c r="I9" s="28"/>
    </row>
    <row r="10" spans="1:11">
      <c r="A10" s="26">
        <v>8</v>
      </c>
      <c r="B10" s="28"/>
      <c r="C10" s="28"/>
      <c r="D10" s="28"/>
      <c r="E10" s="28"/>
      <c r="F10" s="28"/>
      <c r="G10" s="28"/>
      <c r="H10" s="28"/>
      <c r="I10" s="28"/>
    </row>
    <row r="11" spans="1:11">
      <c r="A11" s="21"/>
    </row>
    <row r="12" spans="1:11" ht="18" customHeight="1">
      <c r="A12" s="16" t="s">
        <v>1865</v>
      </c>
      <c r="B12" s="17"/>
      <c r="C12" s="17"/>
      <c r="D12" s="17"/>
      <c r="E12" s="18"/>
      <c r="F12" s="15"/>
      <c r="G12" s="15"/>
      <c r="H12" s="20"/>
      <c r="I12" s="20"/>
      <c r="J12" s="20"/>
      <c r="K12" s="20"/>
    </row>
    <row r="13" spans="1:11" ht="24" customHeight="1">
      <c r="A13" s="19" t="s">
        <v>1866</v>
      </c>
      <c r="B13" s="20"/>
      <c r="C13" s="19"/>
      <c r="D13" s="20"/>
      <c r="E13" s="15"/>
      <c r="F13" s="15"/>
      <c r="G13" s="20"/>
      <c r="H13" s="15"/>
      <c r="I13" s="15"/>
      <c r="J13" s="15"/>
      <c r="K13" s="20"/>
    </row>
    <row r="14" spans="1:11" ht="21.75" customHeight="1">
      <c r="A14" s="32" t="s">
        <v>1839</v>
      </c>
      <c r="B14" s="33"/>
      <c r="C14" s="32"/>
      <c r="D14" s="33"/>
      <c r="E14" s="33"/>
      <c r="F14" s="33"/>
      <c r="G14" s="33"/>
      <c r="H14" s="33"/>
      <c r="I14" s="33"/>
      <c r="J14" s="33"/>
      <c r="K14" s="20"/>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16"/>
  <sheetViews>
    <sheetView topLeftCell="A3" workbookViewId="0">
      <selection activeCell="A14" sqref="A14:XFD16"/>
    </sheetView>
  </sheetViews>
  <sheetFormatPr defaultColWidth="9" defaultRowHeight="14.4"/>
  <sheetData>
    <row r="1" spans="1:12" ht="17.399999999999999">
      <c r="A1" s="7" t="s">
        <v>1774</v>
      </c>
    </row>
    <row r="2" spans="1:12">
      <c r="A2" s="21" t="s">
        <v>1775</v>
      </c>
    </row>
    <row r="3" spans="1:12" ht="72">
      <c r="A3" s="22"/>
      <c r="B3" s="321" t="s">
        <v>1776</v>
      </c>
      <c r="C3" s="323"/>
      <c r="D3" s="321" t="s">
        <v>1777</v>
      </c>
      <c r="E3" s="323"/>
      <c r="F3" s="321" t="s">
        <v>1778</v>
      </c>
      <c r="G3" s="323"/>
      <c r="H3" s="321" t="s">
        <v>1779</v>
      </c>
      <c r="I3" s="323"/>
      <c r="J3" s="23" t="s">
        <v>1780</v>
      </c>
      <c r="K3" s="23" t="s">
        <v>1781</v>
      </c>
      <c r="L3" s="23" t="s">
        <v>1782</v>
      </c>
    </row>
    <row r="4" spans="1:12" ht="43.2">
      <c r="A4" s="24"/>
      <c r="B4" s="25" t="s">
        <v>1783</v>
      </c>
      <c r="C4" s="25" t="s">
        <v>1784</v>
      </c>
      <c r="D4" s="25" t="s">
        <v>1783</v>
      </c>
      <c r="E4" s="25" t="s">
        <v>1784</v>
      </c>
      <c r="F4" s="25" t="s">
        <v>1785</v>
      </c>
      <c r="G4" s="25" t="s">
        <v>1650</v>
      </c>
      <c r="H4" s="25" t="s">
        <v>1785</v>
      </c>
      <c r="I4" s="25" t="s">
        <v>1650</v>
      </c>
      <c r="J4" s="25"/>
      <c r="K4" s="34"/>
      <c r="L4" s="34"/>
    </row>
    <row r="5" spans="1:12">
      <c r="A5" s="26">
        <v>1</v>
      </c>
      <c r="B5" s="27" t="s">
        <v>1668</v>
      </c>
      <c r="C5" s="27" t="s">
        <v>1668</v>
      </c>
      <c r="D5" s="27" t="s">
        <v>1668</v>
      </c>
      <c r="E5" s="27" t="s">
        <v>1668</v>
      </c>
      <c r="F5" s="27" t="s">
        <v>1668</v>
      </c>
      <c r="G5" s="27" t="s">
        <v>1668</v>
      </c>
      <c r="H5" s="27" t="s">
        <v>1668</v>
      </c>
      <c r="I5" s="27" t="s">
        <v>1668</v>
      </c>
      <c r="J5" s="27" t="s">
        <v>1668</v>
      </c>
      <c r="K5" s="27" t="s">
        <v>1668</v>
      </c>
      <c r="L5" s="27" t="s">
        <v>1668</v>
      </c>
    </row>
    <row r="6" spans="1:12">
      <c r="A6" s="26">
        <v>2</v>
      </c>
      <c r="B6" s="28"/>
      <c r="C6" s="28"/>
      <c r="D6" s="28"/>
      <c r="E6" s="28"/>
      <c r="F6" s="28"/>
      <c r="G6" s="28"/>
      <c r="H6" s="28"/>
      <c r="I6" s="28"/>
      <c r="J6" s="28"/>
      <c r="K6" s="28"/>
      <c r="L6" s="28"/>
    </row>
    <row r="7" spans="1:12">
      <c r="A7" s="26">
        <v>3</v>
      </c>
      <c r="B7" s="28"/>
      <c r="C7" s="28"/>
      <c r="D7" s="28"/>
      <c r="E7" s="28"/>
      <c r="F7" s="28"/>
      <c r="G7" s="28"/>
      <c r="H7" s="28"/>
      <c r="I7" s="28"/>
      <c r="J7" s="28"/>
      <c r="K7" s="28"/>
      <c r="L7" s="28"/>
    </row>
    <row r="8" spans="1:12">
      <c r="A8" s="26">
        <v>4</v>
      </c>
      <c r="B8" s="28"/>
      <c r="C8" s="28"/>
      <c r="D8" s="28"/>
      <c r="E8" s="28"/>
      <c r="F8" s="28"/>
      <c r="G8" s="28"/>
      <c r="H8" s="28"/>
      <c r="I8" s="28"/>
      <c r="J8" s="28"/>
      <c r="K8" s="28"/>
      <c r="L8" s="28"/>
    </row>
    <row r="9" spans="1:12">
      <c r="A9" s="26">
        <v>5</v>
      </c>
      <c r="B9" s="28"/>
      <c r="C9" s="28"/>
      <c r="D9" s="28"/>
      <c r="E9" s="28"/>
      <c r="F9" s="28"/>
      <c r="G9" s="28"/>
      <c r="H9" s="28"/>
      <c r="I9" s="28"/>
      <c r="J9" s="28"/>
      <c r="K9" s="28"/>
      <c r="L9" s="28"/>
    </row>
    <row r="10" spans="1:12">
      <c r="A10" s="26">
        <v>6</v>
      </c>
      <c r="B10" s="28"/>
      <c r="C10" s="28"/>
      <c r="D10" s="28"/>
      <c r="E10" s="28"/>
      <c r="F10" s="28"/>
      <c r="G10" s="28"/>
      <c r="H10" s="28"/>
      <c r="I10" s="28"/>
      <c r="J10" s="28"/>
      <c r="K10" s="28"/>
      <c r="L10" s="28"/>
    </row>
    <row r="11" spans="1:12">
      <c r="A11" s="29">
        <v>7</v>
      </c>
      <c r="B11" s="30"/>
      <c r="C11" s="30"/>
      <c r="D11" s="30"/>
      <c r="E11" s="30"/>
      <c r="F11" s="30"/>
      <c r="G11" s="30"/>
      <c r="H11" s="30"/>
      <c r="I11" s="30"/>
      <c r="J11" s="30"/>
      <c r="K11" s="30"/>
      <c r="L11" s="30"/>
    </row>
    <row r="12" spans="1:12">
      <c r="A12" s="31"/>
      <c r="B12" s="20"/>
      <c r="C12" s="20"/>
      <c r="D12" s="20"/>
      <c r="E12" s="20"/>
      <c r="F12" s="20"/>
      <c r="G12" s="20"/>
      <c r="H12" s="20"/>
      <c r="I12" s="20"/>
      <c r="J12" s="20"/>
      <c r="K12" s="20"/>
      <c r="L12" s="20"/>
    </row>
    <row r="13" spans="1:12">
      <c r="A13" s="31"/>
      <c r="B13" s="20"/>
      <c r="C13" s="20"/>
      <c r="D13" s="20"/>
      <c r="E13" s="20"/>
      <c r="F13" s="20"/>
      <c r="G13" s="20"/>
      <c r="H13" s="20"/>
      <c r="I13" s="20"/>
      <c r="J13" s="20"/>
      <c r="K13" s="20"/>
      <c r="L13" s="20"/>
    </row>
    <row r="14" spans="1:12" ht="18" customHeight="1">
      <c r="A14" s="16" t="s">
        <v>1865</v>
      </c>
      <c r="B14" s="17"/>
      <c r="C14" s="17"/>
      <c r="D14" s="17"/>
      <c r="E14" s="18"/>
      <c r="F14" s="15"/>
      <c r="G14" s="15"/>
      <c r="H14" s="20"/>
      <c r="I14" s="20"/>
      <c r="J14" s="20"/>
      <c r="K14" s="20"/>
    </row>
    <row r="15" spans="1:12" ht="24" customHeight="1">
      <c r="A15" s="19" t="s">
        <v>1866</v>
      </c>
      <c r="B15" s="20"/>
      <c r="C15" s="19"/>
      <c r="D15" s="20"/>
      <c r="E15" s="15"/>
      <c r="F15" s="15"/>
      <c r="G15" s="20"/>
      <c r="H15" s="15"/>
      <c r="I15" s="15"/>
      <c r="J15" s="15"/>
      <c r="K15" s="20"/>
    </row>
    <row r="16" spans="1:12" ht="21.75" customHeight="1">
      <c r="A16" s="32" t="s">
        <v>1839</v>
      </c>
      <c r="B16" s="33"/>
      <c r="C16" s="32"/>
      <c r="D16" s="33"/>
      <c r="E16" s="33"/>
      <c r="F16" s="33"/>
      <c r="G16" s="33"/>
      <c r="H16" s="33"/>
      <c r="I16" s="33"/>
      <c r="J16" s="33"/>
      <c r="K16" s="20"/>
    </row>
  </sheetData>
  <mergeCells count="4">
    <mergeCell ref="B3:C3"/>
    <mergeCell ref="D3:E3"/>
    <mergeCell ref="F3:G3"/>
    <mergeCell ref="H3:I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9"/>
  <sheetViews>
    <sheetView topLeftCell="A5" workbookViewId="0">
      <selection activeCell="A17" sqref="A17:XFD19"/>
    </sheetView>
  </sheetViews>
  <sheetFormatPr defaultColWidth="9" defaultRowHeight="14.4"/>
  <cols>
    <col min="2" max="2" width="20.5546875" customWidth="1"/>
    <col min="4" max="4" width="22" customWidth="1"/>
    <col min="5" max="5" width="17.33203125" customWidth="1"/>
    <col min="6" max="6" width="29.109375" customWidth="1"/>
    <col min="7" max="7" width="17.88671875" customWidth="1"/>
  </cols>
  <sheetData>
    <row r="1" spans="1:7" ht="17.399999999999999">
      <c r="A1" s="7" t="s">
        <v>1786</v>
      </c>
    </row>
    <row r="2" spans="1:7">
      <c r="A2" s="8" t="s">
        <v>1787</v>
      </c>
      <c r="B2" s="2"/>
      <c r="C2" s="2"/>
      <c r="D2" s="2"/>
      <c r="E2" s="2"/>
      <c r="F2" s="2"/>
      <c r="G2" s="2"/>
    </row>
    <row r="3" spans="1:7">
      <c r="A3" s="8" t="s">
        <v>1788</v>
      </c>
      <c r="B3" s="2"/>
      <c r="C3" s="2"/>
      <c r="D3" s="2"/>
      <c r="E3" s="2"/>
      <c r="F3" s="2"/>
      <c r="G3" s="2"/>
    </row>
    <row r="4" spans="1:7">
      <c r="A4" s="8" t="s">
        <v>1789</v>
      </c>
      <c r="B4" s="2"/>
      <c r="C4" s="2"/>
      <c r="D4" s="2"/>
      <c r="E4" s="2"/>
      <c r="F4" s="2"/>
      <c r="G4" s="2"/>
    </row>
    <row r="5" spans="1:7" ht="28.8">
      <c r="A5" s="9"/>
      <c r="B5" s="10" t="s">
        <v>175</v>
      </c>
      <c r="C5" s="10" t="s">
        <v>1790</v>
      </c>
      <c r="D5" s="10" t="s">
        <v>1791</v>
      </c>
      <c r="E5" s="10" t="s">
        <v>1792</v>
      </c>
      <c r="F5" s="10" t="s">
        <v>1793</v>
      </c>
      <c r="G5" s="11"/>
    </row>
    <row r="6" spans="1:7">
      <c r="A6" s="3">
        <v>1</v>
      </c>
      <c r="B6" s="4" t="s">
        <v>1668</v>
      </c>
      <c r="C6" s="4" t="s">
        <v>1668</v>
      </c>
      <c r="D6" s="4" t="s">
        <v>1668</v>
      </c>
      <c r="E6" s="4" t="s">
        <v>1668</v>
      </c>
      <c r="F6" s="4" t="s">
        <v>1668</v>
      </c>
      <c r="G6" s="4"/>
    </row>
    <row r="7" spans="1:7">
      <c r="A7" s="3">
        <v>2</v>
      </c>
      <c r="B7" s="4"/>
      <c r="C7" s="4"/>
      <c r="D7" s="4"/>
      <c r="E7" s="4"/>
      <c r="F7" s="4"/>
      <c r="G7" s="4"/>
    </row>
    <row r="8" spans="1:7">
      <c r="A8" s="3">
        <v>3</v>
      </c>
      <c r="B8" s="4"/>
      <c r="C8" s="4"/>
      <c r="D8" s="4"/>
      <c r="E8" s="4"/>
      <c r="F8" s="4"/>
      <c r="G8" s="4"/>
    </row>
    <row r="9" spans="1:7">
      <c r="A9" s="3">
        <v>4</v>
      </c>
      <c r="B9" s="4"/>
      <c r="C9" s="4"/>
      <c r="D9" s="4"/>
      <c r="E9" s="4"/>
      <c r="F9" s="4"/>
      <c r="G9" s="4"/>
    </row>
    <row r="10" spans="1:7">
      <c r="A10" s="3">
        <v>5</v>
      </c>
      <c r="B10" s="4"/>
      <c r="C10" s="4"/>
      <c r="D10" s="4"/>
      <c r="E10" s="4"/>
      <c r="F10" s="4"/>
      <c r="G10" s="4"/>
    </row>
    <row r="11" spans="1:7">
      <c r="A11" s="3">
        <v>6</v>
      </c>
      <c r="B11" s="4"/>
      <c r="C11" s="4"/>
      <c r="D11" s="4"/>
      <c r="E11" s="4"/>
      <c r="F11" s="4"/>
      <c r="G11" s="4"/>
    </row>
    <row r="12" spans="1:7">
      <c r="A12" s="3">
        <v>7</v>
      </c>
      <c r="B12" s="4"/>
      <c r="C12" s="4"/>
      <c r="D12" s="4"/>
      <c r="E12" s="4"/>
      <c r="F12" s="4"/>
      <c r="G12" s="4"/>
    </row>
    <row r="13" spans="1:7">
      <c r="A13" s="3">
        <v>8</v>
      </c>
      <c r="B13" s="4"/>
      <c r="C13" s="4"/>
      <c r="D13" s="4"/>
      <c r="E13" s="4"/>
      <c r="F13" s="4"/>
      <c r="G13" s="4"/>
    </row>
    <row r="14" spans="1:7">
      <c r="A14" s="12">
        <v>9</v>
      </c>
      <c r="B14" s="13"/>
      <c r="C14" s="13"/>
      <c r="D14" s="13"/>
      <c r="E14" s="13"/>
      <c r="F14" s="13"/>
      <c r="G14" s="13"/>
    </row>
    <row r="15" spans="1:7">
      <c r="A15" s="14"/>
      <c r="B15" s="15"/>
      <c r="C15" s="15"/>
      <c r="D15" s="15"/>
      <c r="E15" s="15"/>
      <c r="F15" s="15"/>
      <c r="G15" s="15"/>
    </row>
    <row r="16" spans="1:7">
      <c r="A16" s="14"/>
      <c r="B16" s="15"/>
      <c r="C16" s="15"/>
      <c r="D16" s="15"/>
      <c r="E16" s="15"/>
      <c r="F16" s="15"/>
      <c r="G16" s="15"/>
    </row>
    <row r="17" spans="1:11" ht="18" customHeight="1">
      <c r="A17" s="16" t="s">
        <v>1865</v>
      </c>
      <c r="B17" s="17"/>
      <c r="C17" s="17"/>
      <c r="D17" s="17"/>
      <c r="E17" s="18"/>
      <c r="F17" s="15"/>
      <c r="G17" s="15"/>
      <c r="H17" s="20"/>
      <c r="I17" s="20"/>
      <c r="J17" s="20"/>
      <c r="K17" s="20"/>
    </row>
    <row r="18" spans="1:11" ht="24" customHeight="1">
      <c r="A18" s="19" t="s">
        <v>1866</v>
      </c>
      <c r="B18" s="20"/>
      <c r="C18" s="19"/>
      <c r="D18" s="20"/>
      <c r="E18" s="15"/>
      <c r="F18" s="15"/>
      <c r="G18" s="20"/>
      <c r="H18" s="15"/>
      <c r="I18" s="15"/>
      <c r="J18" s="15"/>
      <c r="K18" s="20"/>
    </row>
    <row r="19" spans="1:11" ht="21.75" customHeight="1">
      <c r="A19" s="32" t="s">
        <v>1839</v>
      </c>
      <c r="B19" s="33"/>
      <c r="C19" s="32"/>
      <c r="D19" s="33"/>
      <c r="E19" s="33"/>
      <c r="F19" s="33"/>
      <c r="G19" s="33"/>
      <c r="H19" s="33"/>
      <c r="I19" s="33"/>
      <c r="J19" s="33"/>
      <c r="K19" s="20"/>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F364A-6C98-47F9-8D03-9C89DF21DAE9}">
  <dimension ref="A1:AB12"/>
  <sheetViews>
    <sheetView workbookViewId="0">
      <selection activeCell="C5" sqref="C5"/>
    </sheetView>
  </sheetViews>
  <sheetFormatPr defaultColWidth="9" defaultRowHeight="14.4"/>
  <cols>
    <col min="1" max="1" width="9" style="178"/>
    <col min="2" max="2" width="17.88671875" style="178" customWidth="1"/>
    <col min="3" max="4" width="14.33203125" style="178" bestFit="1" customWidth="1"/>
    <col min="5" max="5" width="9" style="178"/>
    <col min="6" max="7" width="14.33203125" style="178" bestFit="1" customWidth="1"/>
    <col min="8" max="9" width="9" style="178"/>
    <col min="10" max="10" width="9.6640625" style="178" customWidth="1"/>
    <col min="11" max="12" width="9" style="178"/>
    <col min="13" max="13" width="10.5546875" style="178" customWidth="1"/>
    <col min="14" max="14" width="9" style="178"/>
    <col min="15" max="15" width="12.5546875" style="178" bestFit="1" customWidth="1"/>
    <col min="16" max="16" width="18" style="178" bestFit="1" customWidth="1"/>
    <col min="17" max="23" width="9" style="178"/>
    <col min="24" max="24" width="17" style="178" customWidth="1"/>
    <col min="25" max="25" width="21.109375" style="178" customWidth="1"/>
    <col min="26" max="16384" width="9" style="178"/>
  </cols>
  <sheetData>
    <row r="1" spans="1:28" ht="17.399999999999999">
      <c r="A1" s="175" t="s">
        <v>1805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7"/>
      <c r="AB1" s="177"/>
    </row>
    <row r="2" spans="1:28">
      <c r="A2" s="179"/>
      <c r="B2" s="180" t="s">
        <v>1794</v>
      </c>
      <c r="C2" s="324" t="s">
        <v>1795</v>
      </c>
      <c r="D2" s="324"/>
      <c r="E2" s="324"/>
      <c r="F2" s="324" t="s">
        <v>1796</v>
      </c>
      <c r="G2" s="324"/>
      <c r="H2" s="324"/>
      <c r="I2" s="324" t="s">
        <v>1797</v>
      </c>
      <c r="J2" s="324"/>
      <c r="K2" s="324"/>
      <c r="L2" s="324" t="s">
        <v>1798</v>
      </c>
      <c r="M2" s="324"/>
      <c r="N2" s="324"/>
      <c r="O2" s="324" t="s">
        <v>1799</v>
      </c>
      <c r="P2" s="324"/>
      <c r="Q2" s="324"/>
      <c r="R2" s="324" t="s">
        <v>1800</v>
      </c>
      <c r="S2" s="324"/>
      <c r="T2" s="324"/>
      <c r="U2" s="324" t="s">
        <v>1801</v>
      </c>
      <c r="V2" s="324"/>
      <c r="W2" s="324"/>
      <c r="X2" s="324" t="s">
        <v>107</v>
      </c>
      <c r="Y2" s="324"/>
      <c r="Z2" s="324"/>
      <c r="AA2" s="177"/>
      <c r="AB2" s="177"/>
    </row>
    <row r="3" spans="1:28" ht="24">
      <c r="A3" s="180"/>
      <c r="B3" s="181"/>
      <c r="C3" s="181" t="s">
        <v>1802</v>
      </c>
      <c r="D3" s="181" t="s">
        <v>1803</v>
      </c>
      <c r="E3" s="181" t="s">
        <v>1804</v>
      </c>
      <c r="F3" s="181" t="s">
        <v>1802</v>
      </c>
      <c r="G3" s="181" t="s">
        <v>1803</v>
      </c>
      <c r="H3" s="181" t="s">
        <v>1804</v>
      </c>
      <c r="I3" s="181" t="s">
        <v>1802</v>
      </c>
      <c r="J3" s="181" t="s">
        <v>1803</v>
      </c>
      <c r="K3" s="181" t="s">
        <v>1804</v>
      </c>
      <c r="L3" s="181" t="s">
        <v>1802</v>
      </c>
      <c r="M3" s="181" t="s">
        <v>1803</v>
      </c>
      <c r="N3" s="181" t="s">
        <v>1804</v>
      </c>
      <c r="O3" s="181" t="s">
        <v>1802</v>
      </c>
      <c r="P3" s="181" t="s">
        <v>1803</v>
      </c>
      <c r="Q3" s="181" t="s">
        <v>1804</v>
      </c>
      <c r="R3" s="181" t="s">
        <v>1802</v>
      </c>
      <c r="S3" s="181" t="s">
        <v>1803</v>
      </c>
      <c r="T3" s="181" t="s">
        <v>1804</v>
      </c>
      <c r="U3" s="181" t="s">
        <v>1802</v>
      </c>
      <c r="V3" s="181" t="s">
        <v>1803</v>
      </c>
      <c r="W3" s="181" t="s">
        <v>1804</v>
      </c>
      <c r="X3" s="181" t="s">
        <v>1802</v>
      </c>
      <c r="Y3" s="181" t="s">
        <v>1803</v>
      </c>
      <c r="Z3" s="181" t="s">
        <v>1804</v>
      </c>
      <c r="AA3" s="177"/>
      <c r="AB3" s="177"/>
    </row>
    <row r="4" spans="1:28">
      <c r="A4" s="271">
        <v>1</v>
      </c>
      <c r="B4" s="272" t="s">
        <v>1806</v>
      </c>
      <c r="C4" s="273">
        <f>'Motor Vehicle Register'!M11</f>
        <v>57350297.039999999</v>
      </c>
      <c r="D4" s="273">
        <f>C4</f>
        <v>57350297.039999999</v>
      </c>
      <c r="E4" s="271">
        <v>0</v>
      </c>
      <c r="F4" s="273">
        <f>'Motor Vehicle Register'!P11</f>
        <v>43740802.722890623</v>
      </c>
      <c r="G4" s="273">
        <f>F4</f>
        <v>43740802.722890623</v>
      </c>
      <c r="H4" s="271">
        <v>0</v>
      </c>
      <c r="I4" s="271">
        <v>0</v>
      </c>
      <c r="J4" s="271">
        <v>0</v>
      </c>
      <c r="K4" s="271">
        <v>0</v>
      </c>
      <c r="L4" s="271">
        <v>0</v>
      </c>
      <c r="M4" s="271">
        <v>0</v>
      </c>
      <c r="N4" s="271">
        <v>0</v>
      </c>
      <c r="O4" s="274">
        <f>'Motor Vehicle Register'!O11</f>
        <v>8748160.5445781238</v>
      </c>
      <c r="P4" s="274">
        <f>O4</f>
        <v>8748160.5445781238</v>
      </c>
      <c r="Q4" s="271">
        <v>0</v>
      </c>
      <c r="R4" s="271">
        <v>0</v>
      </c>
      <c r="S4" s="271">
        <v>0</v>
      </c>
      <c r="T4" s="271">
        <v>0</v>
      </c>
      <c r="U4" s="271">
        <v>0</v>
      </c>
      <c r="V4" s="271">
        <v>0</v>
      </c>
      <c r="W4" s="271">
        <v>0</v>
      </c>
      <c r="X4" s="274">
        <f>'Motor Vehicle Register'!Q11</f>
        <v>13609494.317109374</v>
      </c>
      <c r="Y4" s="274">
        <f>X4</f>
        <v>13609494.317109374</v>
      </c>
      <c r="Z4" s="271">
        <v>0</v>
      </c>
      <c r="AA4" s="177"/>
      <c r="AB4" s="177"/>
    </row>
    <row r="5" spans="1:28">
      <c r="A5" s="271">
        <v>2</v>
      </c>
      <c r="B5" s="272" t="s">
        <v>1807</v>
      </c>
      <c r="C5" s="275">
        <f>'Furniture&amp;Fittings '!K387</f>
        <v>20146307</v>
      </c>
      <c r="D5" s="275">
        <f>C5</f>
        <v>20146307</v>
      </c>
      <c r="E5" s="271">
        <v>0</v>
      </c>
      <c r="F5" s="275">
        <f>'Furniture&amp;Fittings '!N387</f>
        <v>13136344.507294245</v>
      </c>
      <c r="G5" s="275">
        <f>F5</f>
        <v>13136344.507294245</v>
      </c>
      <c r="H5" s="271">
        <v>0</v>
      </c>
      <c r="I5" s="271">
        <v>0</v>
      </c>
      <c r="J5" s="271">
        <v>0</v>
      </c>
      <c r="K5" s="271">
        <v>0</v>
      </c>
      <c r="L5" s="271">
        <v>0</v>
      </c>
      <c r="M5" s="271">
        <v>0</v>
      </c>
      <c r="N5" s="271">
        <v>0</v>
      </c>
      <c r="O5" s="274">
        <f>'Furniture&amp;Fittings '!M387</f>
        <v>2380872.5975662768</v>
      </c>
      <c r="P5" s="274">
        <f>O5</f>
        <v>2380872.5975662768</v>
      </c>
      <c r="Q5" s="271">
        <v>0</v>
      </c>
      <c r="R5" s="271">
        <v>0</v>
      </c>
      <c r="S5" s="271">
        <v>0</v>
      </c>
      <c r="T5" s="271">
        <v>0</v>
      </c>
      <c r="U5" s="271">
        <v>0</v>
      </c>
      <c r="V5" s="271">
        <v>0</v>
      </c>
      <c r="W5" s="271">
        <v>0</v>
      </c>
      <c r="X5" s="274">
        <f>'[2]Furniture&amp;Fittings '!P462</f>
        <v>31541320094.010002</v>
      </c>
      <c r="Y5" s="274">
        <f t="shared" ref="Y5:Y7" si="0">X5</f>
        <v>31541320094.010002</v>
      </c>
      <c r="Z5" s="271">
        <v>0</v>
      </c>
      <c r="AA5" s="177"/>
      <c r="AB5" s="177"/>
    </row>
    <row r="6" spans="1:28">
      <c r="A6" s="271">
        <v>3</v>
      </c>
      <c r="B6" s="272" t="s">
        <v>1808</v>
      </c>
      <c r="C6" s="274">
        <f>'Office equipment register '!O67</f>
        <v>14154002.15227652</v>
      </c>
      <c r="D6" s="276">
        <f>C6</f>
        <v>14154002.15227652</v>
      </c>
      <c r="E6" s="271">
        <v>0</v>
      </c>
      <c r="F6" s="276">
        <f>'Office equipment register '!N67</f>
        <v>14800394.84772348</v>
      </c>
      <c r="G6" s="276">
        <f>F6</f>
        <v>14800394.84772348</v>
      </c>
      <c r="H6" s="271">
        <v>0</v>
      </c>
      <c r="I6" s="271">
        <v>0</v>
      </c>
      <c r="J6" s="271">
        <v>0</v>
      </c>
      <c r="K6" s="271">
        <v>0</v>
      </c>
      <c r="L6" s="271">
        <v>0</v>
      </c>
      <c r="M6" s="271">
        <v>0</v>
      </c>
      <c r="N6" s="271">
        <v>0</v>
      </c>
      <c r="O6" s="274">
        <f>'Office equipment register '!M67</f>
        <v>2733643.1294524074</v>
      </c>
      <c r="P6" s="274">
        <f>O6</f>
        <v>2733643.1294524074</v>
      </c>
      <c r="Q6" s="271">
        <v>0</v>
      </c>
      <c r="R6" s="271">
        <v>0</v>
      </c>
      <c r="S6" s="271">
        <v>0</v>
      </c>
      <c r="T6" s="271">
        <v>0</v>
      </c>
      <c r="U6" s="271">
        <v>0</v>
      </c>
      <c r="V6" s="271">
        <v>0</v>
      </c>
      <c r="W6" s="271">
        <v>0</v>
      </c>
      <c r="X6" s="274">
        <v>16176002.459744593</v>
      </c>
      <c r="Y6" s="274">
        <f t="shared" si="0"/>
        <v>16176002.459744593</v>
      </c>
      <c r="Z6" s="271">
        <v>0</v>
      </c>
      <c r="AA6" s="177"/>
      <c r="AB6" s="177"/>
    </row>
    <row r="7" spans="1:28">
      <c r="A7" s="271">
        <v>4</v>
      </c>
      <c r="B7" s="272" t="s">
        <v>1809</v>
      </c>
      <c r="C7" s="273">
        <f>'ICT Computer Register '!L223</f>
        <v>19308410</v>
      </c>
      <c r="D7" s="273">
        <f>C7</f>
        <v>19308410</v>
      </c>
      <c r="E7" s="271"/>
      <c r="F7" s="273">
        <f>'ICT Computer Register '!O223</f>
        <v>15839371.951989096</v>
      </c>
      <c r="G7" s="273">
        <f>F7</f>
        <v>15839371.951989096</v>
      </c>
      <c r="H7" s="271">
        <v>0</v>
      </c>
      <c r="I7" s="271">
        <v>0</v>
      </c>
      <c r="J7" s="271">
        <v>0</v>
      </c>
      <c r="K7" s="271">
        <v>0</v>
      </c>
      <c r="L7" s="271">
        <v>0</v>
      </c>
      <c r="M7" s="271">
        <v>0</v>
      </c>
      <c r="N7" s="271">
        <v>0</v>
      </c>
      <c r="O7" s="274">
        <f>'ICT Computer Register '!N223</f>
        <v>2988734.0434300341</v>
      </c>
      <c r="P7" s="274">
        <f>O7</f>
        <v>2988734.0434300341</v>
      </c>
      <c r="Q7" s="271">
        <v>0</v>
      </c>
      <c r="R7" s="271">
        <v>0</v>
      </c>
      <c r="S7" s="271">
        <v>0</v>
      </c>
      <c r="T7" s="271">
        <v>0</v>
      </c>
      <c r="U7" s="271">
        <v>0</v>
      </c>
      <c r="V7" s="271">
        <v>0</v>
      </c>
      <c r="W7" s="271">
        <v>0</v>
      </c>
      <c r="X7" s="274">
        <f>'ICT Computer Register '!P223</f>
        <v>3469038.0480109048</v>
      </c>
      <c r="Y7" s="274">
        <f t="shared" si="0"/>
        <v>3469038.0480109048</v>
      </c>
      <c r="Z7" s="271">
        <v>0</v>
      </c>
      <c r="AA7" s="177"/>
      <c r="AB7" s="177"/>
    </row>
    <row r="8" spans="1:28" ht="15.6">
      <c r="A8" s="182"/>
      <c r="B8" s="183"/>
      <c r="C8" s="183"/>
      <c r="D8" s="183"/>
      <c r="E8" s="182"/>
      <c r="F8" s="183"/>
      <c r="G8" s="183"/>
      <c r="H8" s="183"/>
      <c r="I8" s="183"/>
      <c r="J8" s="183"/>
      <c r="K8" s="177"/>
      <c r="L8" s="177"/>
      <c r="M8" s="177"/>
      <c r="N8" s="177"/>
      <c r="O8" s="177"/>
      <c r="P8" s="177"/>
      <c r="Q8" s="177"/>
      <c r="R8" s="177"/>
      <c r="S8" s="177"/>
      <c r="T8" s="177"/>
      <c r="U8" s="177"/>
      <c r="V8" s="177"/>
      <c r="W8" s="177"/>
      <c r="X8" s="177"/>
      <c r="Y8" s="177"/>
      <c r="Z8" s="177"/>
      <c r="AA8" s="177"/>
      <c r="AB8" s="177"/>
    </row>
    <row r="9" spans="1:28" s="1" customFormat="1" ht="15.6">
      <c r="A9" s="5" t="s">
        <v>1837</v>
      </c>
      <c r="E9" s="5"/>
      <c r="L9" s="6"/>
    </row>
    <row r="10" spans="1:28" s="1" customFormat="1" ht="15.6">
      <c r="A10" s="5" t="s">
        <v>1838</v>
      </c>
      <c r="C10" s="5"/>
    </row>
    <row r="11" spans="1:28" s="1" customFormat="1" ht="15.6">
      <c r="A11" s="5" t="s">
        <v>1839</v>
      </c>
      <c r="C11" s="5"/>
    </row>
    <row r="12" spans="1:28" ht="18">
      <c r="J12" s="184"/>
      <c r="K12" s="184"/>
      <c r="L12" s="184"/>
      <c r="M12" s="184"/>
      <c r="N12" s="184"/>
      <c r="O12" s="184"/>
      <c r="P12" s="184"/>
      <c r="Q12" s="184"/>
      <c r="R12" s="184"/>
    </row>
  </sheetData>
  <mergeCells count="8">
    <mergeCell ref="U2:W2"/>
    <mergeCell ref="X2:Z2"/>
    <mergeCell ref="C2:E2"/>
    <mergeCell ref="F2:H2"/>
    <mergeCell ref="I2:K2"/>
    <mergeCell ref="L2:N2"/>
    <mergeCell ref="O2:Q2"/>
    <mergeCell ref="R2:T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7B585C-AF8D-45E5-AC14-4FF27E5CA9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42</vt:i4>
      </vt:variant>
    </vt:vector>
  </HeadingPairs>
  <TitlesOfParts>
    <vt:vector size="84" baseType="lpstr">
      <vt:lpstr>Guidance</vt:lpstr>
      <vt:lpstr>Table of Contents</vt:lpstr>
      <vt:lpstr>Land Register </vt:lpstr>
      <vt:lpstr>Building Register</vt:lpstr>
      <vt:lpstr>Motor Vehicle Register</vt:lpstr>
      <vt:lpstr>Office equipment register </vt:lpstr>
      <vt:lpstr>ICT Computer Register </vt:lpstr>
      <vt:lpstr>Furniture&amp;Fittings </vt:lpstr>
      <vt:lpstr>Plant &amp;Machinery Register</vt:lpstr>
      <vt:lpstr>Portable &amp;attractive Items </vt:lpstr>
      <vt:lpstr>Intangible Asset Register </vt:lpstr>
      <vt:lpstr>Stocks Consumables Register </vt:lpstr>
      <vt:lpstr>Railway register </vt:lpstr>
      <vt:lpstr>Roads Infastructure register </vt:lpstr>
      <vt:lpstr>Other Infastructure register </vt:lpstr>
      <vt:lpstr>Biological register </vt:lpstr>
      <vt:lpstr>Subsoil register </vt:lpstr>
      <vt:lpstr>Major maintenance register </vt:lpstr>
      <vt:lpstr>Work in progress register </vt:lpstr>
      <vt:lpstr>Investments register </vt:lpstr>
      <vt:lpstr>Cash register </vt:lpstr>
      <vt:lpstr>Bank register </vt:lpstr>
      <vt:lpstr>Loans receivables register</vt:lpstr>
      <vt:lpstr>Accounts receivables register </vt:lpstr>
      <vt:lpstr>Other receivables register </vt:lpstr>
      <vt:lpstr>Imprest register </vt:lpstr>
      <vt:lpstr>Loans payable register </vt:lpstr>
      <vt:lpstr>contigent Liabities register</vt:lpstr>
      <vt:lpstr>Accruals register </vt:lpstr>
      <vt:lpstr>Accounts payable register </vt:lpstr>
      <vt:lpstr>Pensions payable register</vt:lpstr>
      <vt:lpstr>Other liabilities register </vt:lpstr>
      <vt:lpstr>Asset movement form</vt:lpstr>
      <vt:lpstr>Revaluation Schedule </vt:lpstr>
      <vt:lpstr>Losses Register </vt:lpstr>
      <vt:lpstr>Guarantees &amp;indeminities </vt:lpstr>
      <vt:lpstr>Lease register </vt:lpstr>
      <vt:lpstr>Litigation Register </vt:lpstr>
      <vt:lpstr>Equipment sign out register </vt:lpstr>
      <vt:lpstr>Asset transfer form </vt:lpstr>
      <vt:lpstr>Asset Handover form</vt:lpstr>
      <vt:lpstr>Asset reconciliation report </vt:lpstr>
      <vt:lpstr>Guidance!_bookmark28</vt:lpstr>
      <vt:lpstr>Guidance!_bookmark32</vt:lpstr>
      <vt:lpstr>Guidance!_Toc112658800</vt:lpstr>
      <vt:lpstr>Guidance!_Toc112658801</vt:lpstr>
      <vt:lpstr>Guidance!_Toc112658802</vt:lpstr>
      <vt:lpstr>Guidance!_Toc112658803</vt:lpstr>
      <vt:lpstr>Guidance!_Toc112658804</vt:lpstr>
      <vt:lpstr>Guidance!_Toc112658805</vt:lpstr>
      <vt:lpstr>Guidance!_Toc112658807</vt:lpstr>
      <vt:lpstr>Guidance!_Toc112671323</vt:lpstr>
      <vt:lpstr>Guidance!_Toc112671324</vt:lpstr>
      <vt:lpstr>'Building Register'!_Toc50979603</vt:lpstr>
      <vt:lpstr>'Intangible Asset Register '!_Toc50979604</vt:lpstr>
      <vt:lpstr>'Railway register '!_Toc50979606</vt:lpstr>
      <vt:lpstr>'Roads Infastructure register '!_Toc50979607</vt:lpstr>
      <vt:lpstr>'Other Infastructure register '!_Toc50979608</vt:lpstr>
      <vt:lpstr>'Biological register '!_Toc50979609</vt:lpstr>
      <vt:lpstr>'Subsoil register '!_Toc50979610</vt:lpstr>
      <vt:lpstr>'Major maintenance register '!_Toc50979611</vt:lpstr>
      <vt:lpstr>'Work in progress register '!_Toc50979612</vt:lpstr>
      <vt:lpstr>'Cash register '!_Toc50979614</vt:lpstr>
      <vt:lpstr>'Bank register '!_Toc50979615</vt:lpstr>
      <vt:lpstr>'Loans receivables register'!_Toc50979616</vt:lpstr>
      <vt:lpstr>'Accounts receivables register '!_Toc50979617</vt:lpstr>
      <vt:lpstr>'Other receivables register '!_Toc50979618</vt:lpstr>
      <vt:lpstr>'Imprest register '!_Toc50979619</vt:lpstr>
      <vt:lpstr>'Loans payable register '!_Toc50979620</vt:lpstr>
      <vt:lpstr>'contigent Liabities register'!_Toc50979621</vt:lpstr>
      <vt:lpstr>'Accruals register '!_Toc50979622</vt:lpstr>
      <vt:lpstr>'Accounts payable register '!_Toc50979623</vt:lpstr>
      <vt:lpstr>'Pensions payable register'!_Toc50979624</vt:lpstr>
      <vt:lpstr>'Other liabilities register '!_Toc50979625</vt:lpstr>
      <vt:lpstr>'Asset movement form'!_Toc50979626</vt:lpstr>
      <vt:lpstr>'Revaluation Schedule '!_Toc50979627</vt:lpstr>
      <vt:lpstr>'Losses Register '!_Toc50979628</vt:lpstr>
      <vt:lpstr>'Guarantees &amp;indeminities '!_Toc50979629</vt:lpstr>
      <vt:lpstr>'Lease register '!_Toc50979630</vt:lpstr>
      <vt:lpstr>'Litigation Register '!_Toc50979631</vt:lpstr>
      <vt:lpstr>'Equipment sign out register '!_Toc50979632</vt:lpstr>
      <vt:lpstr>'Asset transfer form '!_Toc50979633</vt:lpstr>
      <vt:lpstr>'Asset Handover form'!_Toc50979634</vt:lpstr>
      <vt:lpstr>'Asset reconciliation report '!_Toc50979635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fredina</dc:creator>
  <cp:lastModifiedBy>Daniel Muthuri</cp:lastModifiedBy>
  <cp:lastPrinted>2025-04-10T06:11:00Z</cp:lastPrinted>
  <dcterms:created xsi:type="dcterms:W3CDTF">2022-08-29T09:01:00Z</dcterms:created>
  <dcterms:modified xsi:type="dcterms:W3CDTF">2026-03-19T11:18:13Z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B9A69088933943BA9EA77079A2912898_13</vt:lpwstr>
  </property>
  <property fmtid="{D5CDD505-2E9C-101B-9397-08002B2CF9AE}" pid="3" name="KSOProductBuildVer">
    <vt:lpwstr>1033-12.2.0.21546</vt:lpwstr>
  </property>
</Properties>
</file>